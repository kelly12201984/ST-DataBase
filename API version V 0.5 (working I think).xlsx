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lly\Downloads\"/>
    </mc:Choice>
  </mc:AlternateContent>
  <xr:revisionPtr revIDLastSave="0" documentId="13_ncr:1_{0A7E08F0-217D-4E4F-929C-00AFB656DACB}" xr6:coauthVersionLast="47" xr6:coauthVersionMax="47" xr10:uidLastSave="{00000000-0000-0000-0000-000000000000}"/>
  <bookViews>
    <workbookView xWindow="-98" yWindow="-98" windowWidth="24196" windowHeight="14476" firstSheet="1" activeTab="1" xr2:uid="{EE1F4489-0A7E-436F-A4EC-F04FCFD4B949}"/>
  </bookViews>
  <sheets>
    <sheet name="MAIN" sheetId="1" r:id="rId1"/>
    <sheet name="PRODUCT" sheetId="3" r:id="rId2"/>
    <sheet name="top-bottom sizes" sheetId="4" r:id="rId3"/>
    <sheet name="Lists" sheetId="2" r:id="rId4"/>
    <sheet name="SHELLS" sheetId="5" r:id="rId5"/>
    <sheet name="Nozzles" sheetId="6" r:id="rId6"/>
  </sheets>
  <externalReferences>
    <externalReference r:id="rId7"/>
  </externalReferences>
  <definedNames>
    <definedName name="_xlnm._FilterDatabase" localSheetId="1" hidden="1">PRODUCT!$A$4:$G$206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7" i="6" l="1"/>
  <c r="S47" i="6"/>
  <c r="R47" i="6"/>
  <c r="Q47" i="6"/>
  <c r="P47" i="6"/>
  <c r="O47" i="6"/>
  <c r="N47" i="6"/>
  <c r="M47" i="6"/>
  <c r="L47" i="6"/>
  <c r="T46" i="6"/>
  <c r="S46" i="6"/>
  <c r="R46" i="6"/>
  <c r="Q46" i="6"/>
  <c r="P46" i="6"/>
  <c r="O46" i="6"/>
  <c r="N46" i="6"/>
  <c r="M46" i="6"/>
  <c r="L46" i="6"/>
  <c r="T45" i="6"/>
  <c r="S45" i="6"/>
  <c r="R45" i="6"/>
  <c r="Q45" i="6"/>
  <c r="P45" i="6"/>
  <c r="O45" i="6"/>
  <c r="N45" i="6"/>
  <c r="M45" i="6"/>
  <c r="L45" i="6"/>
  <c r="T44" i="6"/>
  <c r="S44" i="6"/>
  <c r="R44" i="6"/>
  <c r="Q44" i="6"/>
  <c r="P44" i="6"/>
  <c r="O44" i="6"/>
  <c r="N44" i="6"/>
  <c r="M44" i="6"/>
  <c r="L44" i="6"/>
  <c r="T43" i="6"/>
  <c r="S43" i="6"/>
  <c r="R43" i="6"/>
  <c r="Q43" i="6"/>
  <c r="P43" i="6"/>
  <c r="O43" i="6"/>
  <c r="N43" i="6"/>
  <c r="M43" i="6"/>
  <c r="L43" i="6"/>
  <c r="T42" i="6"/>
  <c r="S42" i="6"/>
  <c r="R42" i="6"/>
  <c r="Q42" i="6"/>
  <c r="P42" i="6"/>
  <c r="O42" i="6"/>
  <c r="N42" i="6"/>
  <c r="M42" i="6"/>
  <c r="L42" i="6"/>
  <c r="T41" i="6"/>
  <c r="S41" i="6"/>
  <c r="R41" i="6"/>
  <c r="Q41" i="6"/>
  <c r="P41" i="6"/>
  <c r="O41" i="6"/>
  <c r="N41" i="6"/>
  <c r="M41" i="6"/>
  <c r="L41" i="6"/>
  <c r="T40" i="6"/>
  <c r="S40" i="6"/>
  <c r="R40" i="6"/>
  <c r="Q40" i="6"/>
  <c r="P40" i="6"/>
  <c r="O40" i="6"/>
  <c r="N40" i="6"/>
  <c r="M40" i="6"/>
  <c r="L40" i="6"/>
  <c r="T39" i="6"/>
  <c r="S39" i="6"/>
  <c r="R39" i="6"/>
  <c r="Q39" i="6"/>
  <c r="P39" i="6"/>
  <c r="O39" i="6"/>
  <c r="N39" i="6"/>
  <c r="M39" i="6"/>
  <c r="L39" i="6"/>
  <c r="T38" i="6"/>
  <c r="S38" i="6"/>
  <c r="R38" i="6"/>
  <c r="Q38" i="6"/>
  <c r="P38" i="6"/>
  <c r="O38" i="6"/>
  <c r="N38" i="6"/>
  <c r="M38" i="6"/>
  <c r="L38" i="6"/>
  <c r="T37" i="6"/>
  <c r="S37" i="6"/>
  <c r="R37" i="6"/>
  <c r="Q37" i="6"/>
  <c r="P37" i="6"/>
  <c r="O37" i="6"/>
  <c r="N37" i="6"/>
  <c r="M37" i="6"/>
  <c r="L37" i="6"/>
  <c r="T36" i="6"/>
  <c r="S36" i="6"/>
  <c r="R36" i="6"/>
  <c r="Q36" i="6"/>
  <c r="P36" i="6"/>
  <c r="O36" i="6"/>
  <c r="N36" i="6"/>
  <c r="M36" i="6"/>
  <c r="L36" i="6"/>
  <c r="T35" i="6"/>
  <c r="S35" i="6"/>
  <c r="R35" i="6"/>
  <c r="Q35" i="6"/>
  <c r="P35" i="6"/>
  <c r="O35" i="6"/>
  <c r="N35" i="6"/>
  <c r="M35" i="6"/>
  <c r="L35" i="6"/>
  <c r="T34" i="6"/>
  <c r="S34" i="6"/>
  <c r="R34" i="6"/>
  <c r="Q34" i="6"/>
  <c r="P34" i="6"/>
  <c r="O34" i="6"/>
  <c r="N34" i="6"/>
  <c r="M34" i="6"/>
  <c r="L34" i="6"/>
  <c r="T33" i="6"/>
  <c r="S33" i="6"/>
  <c r="R33" i="6"/>
  <c r="Q33" i="6"/>
  <c r="P33" i="6"/>
  <c r="O33" i="6"/>
  <c r="N33" i="6"/>
  <c r="M33" i="6"/>
  <c r="L33" i="6"/>
  <c r="T32" i="6"/>
  <c r="S32" i="6"/>
  <c r="R32" i="6"/>
  <c r="Q32" i="6"/>
  <c r="P32" i="6"/>
  <c r="O32" i="6"/>
  <c r="N32" i="6"/>
  <c r="M32" i="6"/>
  <c r="L32" i="6"/>
  <c r="T31" i="6"/>
  <c r="S31" i="6"/>
  <c r="R31" i="6"/>
  <c r="Q31" i="6"/>
  <c r="P31" i="6"/>
  <c r="O31" i="6"/>
  <c r="N31" i="6"/>
  <c r="M31" i="6"/>
  <c r="L31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E191" i="3" a="1"/>
  <c r="E191" i="3" s="1"/>
  <c r="E190" i="3" a="1"/>
  <c r="E190" i="3" s="1"/>
  <c r="E198" i="3" a="1"/>
  <c r="E198" i="3"/>
  <c r="E196" i="3" a="1"/>
  <c r="E196" i="3"/>
  <c r="E197" i="3" a="1"/>
  <c r="E197" i="3"/>
  <c r="E192" i="3" a="1"/>
  <c r="E192" i="3"/>
  <c r="E180" i="3" a="1"/>
  <c r="E180" i="3"/>
  <c r="E184" i="3" a="1"/>
  <c r="E184" i="3"/>
  <c r="E174" i="3" a="1"/>
  <c r="E174" i="3"/>
  <c r="E173" i="3" a="1"/>
  <c r="E173" i="3"/>
  <c r="E172" i="3" a="1"/>
  <c r="E172" i="3"/>
  <c r="E185" i="3" a="1"/>
  <c r="E185" i="3" s="1"/>
  <c r="E179" i="3" a="1"/>
  <c r="E179" i="3"/>
  <c r="E186" i="3" a="1"/>
  <c r="E186" i="3"/>
  <c r="E178" i="3" a="1"/>
  <c r="E178" i="3"/>
  <c r="E168" i="3" a="1"/>
  <c r="E168" i="3"/>
  <c r="E154" i="3" a="1"/>
  <c r="E154" i="3"/>
  <c r="E150" i="3" a="1"/>
  <c r="E150" i="3"/>
  <c r="E162" i="3" a="1"/>
  <c r="E162" i="3"/>
  <c r="E161" i="3" a="1"/>
  <c r="E161" i="3"/>
  <c r="E156" i="3" a="1"/>
  <c r="E156" i="3"/>
  <c r="E160" i="3" a="1"/>
  <c r="E160" i="3"/>
  <c r="E155" i="3" a="1"/>
  <c r="E155" i="3" s="1"/>
  <c r="E166" i="3" a="1"/>
  <c r="E166" i="3"/>
  <c r="E167" i="3" a="1"/>
  <c r="E167" i="3"/>
  <c r="E148" i="3" a="1"/>
  <c r="E148" i="3"/>
  <c r="E136" i="3" a="1"/>
  <c r="E136" i="3"/>
  <c r="E138" i="3" a="1"/>
  <c r="E138" i="3"/>
  <c r="E144" i="3" a="1"/>
  <c r="E144" i="3"/>
  <c r="E137" i="3" a="1"/>
  <c r="E137" i="3"/>
  <c r="E132" i="3" a="1"/>
  <c r="E132" i="3"/>
  <c r="E143" i="3" a="1"/>
  <c r="E143" i="3"/>
  <c r="E149" i="3" a="1"/>
  <c r="E149" i="3"/>
  <c r="E142" i="3" a="1"/>
  <c r="E142" i="3" s="1"/>
  <c r="E114" i="3" a="1"/>
  <c r="E114" i="3"/>
  <c r="E120" i="3" a="1"/>
  <c r="E120" i="3"/>
  <c r="E113" i="3" a="1"/>
  <c r="E113" i="3"/>
  <c r="E131" i="3" a="1"/>
  <c r="E131" i="3"/>
  <c r="E130" i="3" a="1"/>
  <c r="E130" i="3"/>
  <c r="E119" i="3" a="1"/>
  <c r="E119" i="3"/>
  <c r="E118" i="3" a="1"/>
  <c r="E118" i="3"/>
  <c r="E126" i="3" a="1"/>
  <c r="E126" i="3"/>
  <c r="E124" i="3" a="1"/>
  <c r="E124" i="3"/>
  <c r="E97" i="3" a="1"/>
  <c r="E97" i="3"/>
  <c r="E112" i="3" a="1"/>
  <c r="E112" i="3" s="1"/>
  <c r="E98" i="3" a="1"/>
  <c r="E98" i="3"/>
  <c r="E96" i="3" a="1"/>
  <c r="E96" i="3"/>
  <c r="E102" i="3" a="1"/>
  <c r="E102" i="3"/>
  <c r="E108" i="3" a="1"/>
  <c r="E108" i="3"/>
  <c r="E106" i="3" a="1"/>
  <c r="E106" i="3"/>
  <c r="E99" i="3" a="1"/>
  <c r="E99" i="3"/>
  <c r="E92" i="3" a="1"/>
  <c r="E92" i="3"/>
  <c r="E101" i="3" a="1"/>
  <c r="E101" i="3"/>
  <c r="E107" i="3" a="1"/>
  <c r="E107" i="3"/>
  <c r="E100" i="3" a="1"/>
  <c r="E100" i="3"/>
  <c r="E89" i="3" a="1"/>
  <c r="E89" i="3" s="1"/>
  <c r="E88" i="3" a="1"/>
  <c r="E88" i="3"/>
  <c r="E87" i="3" a="1"/>
  <c r="E87" i="3"/>
  <c r="E71" i="3" a="1"/>
  <c r="E71" i="3"/>
  <c r="E81" i="3" a="1"/>
  <c r="E81" i="3"/>
  <c r="E75" i="3" a="1"/>
  <c r="E75" i="3"/>
  <c r="E79" i="3" a="1"/>
  <c r="E79" i="3"/>
  <c r="E83" i="3" a="1"/>
  <c r="E83" i="3"/>
  <c r="E72" i="3" a="1"/>
  <c r="E72" i="3"/>
  <c r="E80" i="3" a="1"/>
  <c r="E80" i="3"/>
  <c r="E82" i="3" a="1"/>
  <c r="E82" i="3"/>
  <c r="E74" i="3" a="1"/>
  <c r="E74" i="3" s="1"/>
  <c r="E77" i="3" a="1"/>
  <c r="E77" i="3"/>
  <c r="E73" i="3" a="1"/>
  <c r="E73" i="3"/>
  <c r="E70" i="3" a="1"/>
  <c r="E70" i="3"/>
  <c r="E91" i="3" a="1"/>
  <c r="E91" i="3"/>
  <c r="E90" i="3" a="1"/>
  <c r="E90" i="3"/>
  <c r="E76" i="3" a="1"/>
  <c r="E76" i="3"/>
  <c r="E78" i="3" a="1"/>
  <c r="E78" i="3"/>
  <c r="E125" i="3" a="1"/>
  <c r="E125" i="3"/>
  <c r="F98" i="3"/>
  <c r="F96" i="3"/>
  <c r="F79" i="3"/>
  <c r="F78" i="3"/>
  <c r="F77" i="3"/>
  <c r="F76" i="3"/>
  <c r="F75" i="3"/>
  <c r="F74" i="3"/>
  <c r="F73" i="3"/>
  <c r="F72" i="3"/>
  <c r="F71" i="3"/>
  <c r="F70" i="3"/>
  <c r="E13" i="6" a="1"/>
  <c r="E13" i="6"/>
  <c r="C12" i="6" a="1"/>
  <c r="C12" i="6"/>
  <c r="B16" i="6" a="1"/>
  <c r="B16" i="6"/>
  <c r="B13" i="6" a="1"/>
  <c r="B13" i="6"/>
  <c r="D14" i="6" a="1"/>
  <c r="D14" i="6"/>
  <c r="B14" i="6" a="1"/>
  <c r="B14" i="6"/>
  <c r="F16" i="6" a="1"/>
  <c r="F16" i="6"/>
  <c r="C15" i="6" a="1"/>
  <c r="C15" i="6" s="1"/>
  <c r="E14" i="6" a="1"/>
  <c r="E14" i="6"/>
  <c r="F12" i="6" a="1"/>
  <c r="F12" i="6"/>
  <c r="F14" i="6" a="1"/>
  <c r="F14" i="6"/>
  <c r="D12" i="6" a="1"/>
  <c r="D12" i="6"/>
  <c r="F15" i="6" a="1"/>
  <c r="F15" i="6"/>
  <c r="D13" i="6" a="1"/>
  <c r="D13" i="6"/>
  <c r="F13" i="6" a="1"/>
  <c r="F13" i="6"/>
  <c r="D16" i="6" a="1"/>
  <c r="D16" i="6"/>
  <c r="E15" i="6" a="1"/>
  <c r="E15" i="6"/>
  <c r="C14" i="6" a="1"/>
  <c r="C14" i="6"/>
  <c r="C13" i="6" a="1"/>
  <c r="C13" i="6" s="1"/>
  <c r="E12" i="6" a="1"/>
  <c r="E12" i="6"/>
  <c r="D15" i="6" a="1"/>
  <c r="D15" i="6"/>
  <c r="B15" i="6" a="1"/>
  <c r="B15" i="6"/>
  <c r="C16" i="6" a="1"/>
  <c r="C16" i="6"/>
  <c r="E16" i="6" a="1"/>
  <c r="E16" i="6"/>
  <c r="C11" i="6" a="1"/>
  <c r="C11" i="6"/>
  <c r="B11" i="6" a="1"/>
  <c r="B11" i="6"/>
  <c r="B12" i="6" a="1"/>
  <c r="B12" i="6"/>
  <c r="F11" i="6" a="1"/>
  <c r="F11" i="6"/>
  <c r="E11" i="6" a="1"/>
  <c r="E11" i="6"/>
  <c r="D11" i="6" a="1"/>
  <c r="D11" i="6" s="1"/>
  <c r="F68" i="3" a="1"/>
  <c r="F68" i="3"/>
  <c r="F63" i="3" a="1"/>
  <c r="F63" i="3"/>
  <c r="F200" i="3"/>
  <c r="F199" i="3"/>
  <c r="F194" i="3"/>
  <c r="F193" i="3"/>
  <c r="F188" i="3"/>
  <c r="F187" i="3"/>
  <c r="F182" i="3"/>
  <c r="F181" i="3"/>
  <c r="F176" i="3"/>
  <c r="F175" i="3"/>
  <c r="F170" i="3"/>
  <c r="F169" i="3"/>
  <c r="F164" i="3"/>
  <c r="F163" i="3"/>
  <c r="F158" i="3"/>
  <c r="F157" i="3"/>
  <c r="F152" i="3"/>
  <c r="F151" i="3"/>
  <c r="F146" i="3"/>
  <c r="F145" i="3"/>
  <c r="F140" i="3"/>
  <c r="F139" i="3"/>
  <c r="F134" i="3"/>
  <c r="F133" i="3"/>
  <c r="F128" i="3"/>
  <c r="F127" i="3"/>
  <c r="F122" i="3"/>
  <c r="F121" i="3"/>
  <c r="F116" i="3"/>
  <c r="F115" i="3"/>
  <c r="F110" i="3"/>
  <c r="F109" i="3"/>
  <c r="F104" i="3"/>
  <c r="F103" i="3"/>
  <c r="F67" i="3"/>
  <c r="F66" i="3"/>
  <c r="F65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9" i="3"/>
  <c r="F8" i="3"/>
  <c r="F7" i="3"/>
  <c r="F6" i="3"/>
  <c r="F5" i="3"/>
  <c r="G65" i="3" l="1"/>
  <c r="E64" i="3" a="1"/>
  <c r="E64" i="3" s="1"/>
  <c r="E65" i="3" a="1"/>
  <c r="E65" i="3" s="1"/>
  <c r="C65" i="3"/>
  <c r="C64" i="3"/>
  <c r="G64" i="3" s="1"/>
  <c r="F64" i="3" l="1"/>
  <c r="D9" i="3" l="1"/>
  <c r="G204" i="3"/>
  <c r="G202" i="3"/>
  <c r="E206" i="3" a="1"/>
  <c r="E206" i="3" s="1"/>
  <c r="D206" i="3" a="1"/>
  <c r="D206" i="3" s="1"/>
  <c r="F204" i="3"/>
  <c r="D204" i="3"/>
  <c r="E202" i="3"/>
  <c r="E203" i="3" s="1"/>
  <c r="E204" i="3" s="1"/>
  <c r="E205" i="3" s="1"/>
  <c r="D202" i="3"/>
  <c r="C206" i="3"/>
  <c r="F206" i="3" s="1" a="1"/>
  <c r="F206" i="3" s="1"/>
  <c r="C204" i="3" l="1"/>
  <c r="C202" i="3"/>
  <c r="F202" i="3" s="1"/>
  <c r="C111" i="3"/>
  <c r="G111" i="3" s="1"/>
  <c r="C117" i="3"/>
  <c r="G117" i="3" s="1"/>
  <c r="C123" i="3"/>
  <c r="G123" i="3" s="1"/>
  <c r="C129" i="3"/>
  <c r="G129" i="3" s="1"/>
  <c r="C135" i="3"/>
  <c r="G135" i="3" s="1"/>
  <c r="C141" i="3"/>
  <c r="F141" i="3" s="1" a="1"/>
  <c r="F141" i="3" s="1"/>
  <c r="C147" i="3"/>
  <c r="G147" i="3" s="1"/>
  <c r="C153" i="3"/>
  <c r="G153" i="3" s="1"/>
  <c r="C159" i="3"/>
  <c r="G159" i="3" s="1"/>
  <c r="C165" i="3"/>
  <c r="G165" i="3" s="1"/>
  <c r="C171" i="3"/>
  <c r="G171" i="3" s="1"/>
  <c r="C177" i="3"/>
  <c r="G177" i="3" s="1"/>
  <c r="C183" i="3"/>
  <c r="G183" i="3" s="1"/>
  <c r="C189" i="3"/>
  <c r="G189" i="3" s="1"/>
  <c r="C195" i="3"/>
  <c r="G195" i="3" s="1"/>
  <c r="C201" i="3"/>
  <c r="G201" i="3" s="1"/>
  <c r="G161" i="3"/>
  <c r="G167" i="3"/>
  <c r="G173" i="3"/>
  <c r="G179" i="3"/>
  <c r="G185" i="3"/>
  <c r="G191" i="3"/>
  <c r="G197" i="3"/>
  <c r="G155" i="3"/>
  <c r="G113" i="3"/>
  <c r="G119" i="3"/>
  <c r="G125" i="3"/>
  <c r="G131" i="3"/>
  <c r="G137" i="3"/>
  <c r="G143" i="3"/>
  <c r="G149" i="3"/>
  <c r="G107" i="3"/>
  <c r="G101" i="3"/>
  <c r="C200" i="3" a="1"/>
  <c r="C200" i="3" s="1"/>
  <c r="C199" i="3"/>
  <c r="C198" i="3"/>
  <c r="F198" i="3" s="1" a="1"/>
  <c r="F198" i="3" s="1"/>
  <c r="C197" i="3"/>
  <c r="F197" i="3" s="1" a="1"/>
  <c r="F197" i="3" s="1"/>
  <c r="C196" i="3"/>
  <c r="G196" i="3" s="1" a="1"/>
  <c r="G196" i="3" s="1"/>
  <c r="C194" i="3" a="1"/>
  <c r="C194" i="3" s="1"/>
  <c r="C193" i="3"/>
  <c r="C192" i="3"/>
  <c r="F192" i="3" s="1" a="1"/>
  <c r="F192" i="3" s="1"/>
  <c r="C191" i="3"/>
  <c r="F191" i="3" s="1" a="1"/>
  <c r="F191" i="3" s="1"/>
  <c r="C190" i="3"/>
  <c r="G190" i="3" s="1" a="1"/>
  <c r="G190" i="3" s="1"/>
  <c r="C188" i="3" a="1"/>
  <c r="C188" i="3" s="1"/>
  <c r="C187" i="3"/>
  <c r="C186" i="3"/>
  <c r="F186" i="3" s="1" a="1"/>
  <c r="F186" i="3" s="1"/>
  <c r="C185" i="3"/>
  <c r="F185" i="3" s="1" a="1"/>
  <c r="F185" i="3" s="1"/>
  <c r="C184" i="3"/>
  <c r="G184" i="3" s="1" a="1"/>
  <c r="G184" i="3" s="1"/>
  <c r="C182" i="3" a="1"/>
  <c r="C182" i="3" s="1"/>
  <c r="C181" i="3"/>
  <c r="C180" i="3"/>
  <c r="F180" i="3" s="1" a="1"/>
  <c r="F180" i="3" s="1"/>
  <c r="C179" i="3"/>
  <c r="F179" i="3" s="1" a="1"/>
  <c r="F179" i="3" s="1"/>
  <c r="C178" i="3"/>
  <c r="G178" i="3" s="1" a="1"/>
  <c r="G178" i="3" s="1"/>
  <c r="C176" i="3" a="1"/>
  <c r="C176" i="3" s="1"/>
  <c r="C175" i="3"/>
  <c r="C174" i="3"/>
  <c r="F174" i="3" s="1" a="1"/>
  <c r="F174" i="3" s="1"/>
  <c r="C173" i="3"/>
  <c r="F173" i="3" s="1" a="1"/>
  <c r="F173" i="3" s="1"/>
  <c r="C172" i="3"/>
  <c r="G172" i="3" s="1" a="1"/>
  <c r="G172" i="3" s="1"/>
  <c r="C170" i="3" a="1"/>
  <c r="C170" i="3" s="1"/>
  <c r="C169" i="3"/>
  <c r="C168" i="3"/>
  <c r="F168" i="3" s="1" a="1"/>
  <c r="F168" i="3" s="1"/>
  <c r="C167" i="3"/>
  <c r="F167" i="3" s="1" a="1"/>
  <c r="F167" i="3" s="1"/>
  <c r="C166" i="3"/>
  <c r="G166" i="3" s="1" a="1"/>
  <c r="G166" i="3" s="1"/>
  <c r="C164" i="3" a="1"/>
  <c r="C164" i="3" s="1"/>
  <c r="C163" i="3"/>
  <c r="C162" i="3"/>
  <c r="F162" i="3" s="1" a="1"/>
  <c r="F162" i="3" s="1"/>
  <c r="C161" i="3"/>
  <c r="F161" i="3" s="1" a="1"/>
  <c r="F161" i="3" s="1"/>
  <c r="C160" i="3"/>
  <c r="G160" i="3" s="1" a="1"/>
  <c r="G160" i="3" s="1"/>
  <c r="C158" i="3" a="1"/>
  <c r="C158" i="3" s="1"/>
  <c r="C157" i="3"/>
  <c r="C156" i="3"/>
  <c r="F156" i="3" s="1" a="1"/>
  <c r="F156" i="3" s="1"/>
  <c r="C155" i="3"/>
  <c r="F155" i="3" s="1" a="1"/>
  <c r="F155" i="3" s="1"/>
  <c r="C154" i="3"/>
  <c r="G154" i="3" s="1" a="1"/>
  <c r="G154" i="3" s="1"/>
  <c r="C152" i="3" a="1"/>
  <c r="C152" i="3" s="1"/>
  <c r="C151" i="3"/>
  <c r="C150" i="3"/>
  <c r="F150" i="3" s="1" a="1"/>
  <c r="F150" i="3" s="1"/>
  <c r="C149" i="3"/>
  <c r="F149" i="3" s="1" a="1"/>
  <c r="F149" i="3" s="1"/>
  <c r="C148" i="3"/>
  <c r="G148" i="3" s="1" a="1"/>
  <c r="G148" i="3" s="1"/>
  <c r="C146" i="3" a="1"/>
  <c r="C146" i="3" s="1"/>
  <c r="C145" i="3"/>
  <c r="C144" i="3"/>
  <c r="F144" i="3" s="1" a="1"/>
  <c r="F144" i="3" s="1"/>
  <c r="C143" i="3"/>
  <c r="F143" i="3" s="1" a="1"/>
  <c r="F143" i="3" s="1"/>
  <c r="C142" i="3"/>
  <c r="G142" i="3" s="1" a="1"/>
  <c r="G142" i="3" s="1"/>
  <c r="C140" i="3" a="1"/>
  <c r="C140" i="3" s="1"/>
  <c r="C139" i="3"/>
  <c r="C138" i="3"/>
  <c r="F138" i="3" s="1" a="1"/>
  <c r="F138" i="3" s="1"/>
  <c r="C137" i="3"/>
  <c r="F137" i="3" s="1" a="1"/>
  <c r="F137" i="3" s="1"/>
  <c r="C136" i="3"/>
  <c r="G136" i="3" s="1" a="1"/>
  <c r="G136" i="3" s="1"/>
  <c r="C134" i="3" a="1"/>
  <c r="C134" i="3" s="1"/>
  <c r="C133" i="3"/>
  <c r="C132" i="3"/>
  <c r="F132" i="3" s="1" a="1"/>
  <c r="F132" i="3" s="1"/>
  <c r="C131" i="3"/>
  <c r="F131" i="3" s="1" a="1"/>
  <c r="F131" i="3" s="1"/>
  <c r="C130" i="3"/>
  <c r="G130" i="3" s="1" a="1"/>
  <c r="G130" i="3" s="1"/>
  <c r="C128" i="3" a="1"/>
  <c r="C128" i="3" s="1"/>
  <c r="C127" i="3"/>
  <c r="C126" i="3"/>
  <c r="F126" i="3" s="1" a="1"/>
  <c r="F126" i="3" s="1"/>
  <c r="C125" i="3"/>
  <c r="F125" i="3" s="1" a="1"/>
  <c r="F125" i="3" s="1"/>
  <c r="C124" i="3"/>
  <c r="C122" i="3" a="1"/>
  <c r="C122" i="3" s="1"/>
  <c r="C121" i="3"/>
  <c r="C120" i="3"/>
  <c r="F120" i="3" s="1" a="1"/>
  <c r="F120" i="3" s="1"/>
  <c r="C119" i="3"/>
  <c r="F119" i="3" s="1" a="1"/>
  <c r="F119" i="3" s="1"/>
  <c r="C118" i="3"/>
  <c r="G118" i="3" s="1" a="1"/>
  <c r="G118" i="3" s="1"/>
  <c r="C116" i="3" a="1"/>
  <c r="C116" i="3" s="1"/>
  <c r="C115" i="3"/>
  <c r="C114" i="3"/>
  <c r="F114" i="3" s="1" a="1"/>
  <c r="F114" i="3" s="1"/>
  <c r="C113" i="3"/>
  <c r="F113" i="3" s="1" a="1"/>
  <c r="F113" i="3" s="1"/>
  <c r="C112" i="3"/>
  <c r="G112" i="3" s="1" a="1"/>
  <c r="G112" i="3" s="1"/>
  <c r="C110" i="3" a="1"/>
  <c r="C110" i="3" s="1"/>
  <c r="C109" i="3"/>
  <c r="C108" i="3"/>
  <c r="F108" i="3" s="1" a="1"/>
  <c r="F108" i="3" s="1"/>
  <c r="C107" i="3"/>
  <c r="C106" i="3"/>
  <c r="C104" i="3" a="1"/>
  <c r="C104" i="3" s="1"/>
  <c r="C103" i="3"/>
  <c r="C102" i="3"/>
  <c r="F102" i="3" s="1" a="1"/>
  <c r="F102" i="3" s="1"/>
  <c r="C101" i="3"/>
  <c r="F101" i="3" s="1" a="1"/>
  <c r="F101" i="3" s="1"/>
  <c r="C100" i="3"/>
  <c r="G100" i="3" s="1" a="1"/>
  <c r="G100" i="3" s="1"/>
  <c r="D199" i="3"/>
  <c r="D198" i="3"/>
  <c r="D196" i="3"/>
  <c r="D193" i="3"/>
  <c r="D192" i="3"/>
  <c r="D190" i="3"/>
  <c r="D187" i="3"/>
  <c r="D186" i="3"/>
  <c r="D184" i="3"/>
  <c r="D181" i="3"/>
  <c r="D180" i="3"/>
  <c r="D178" i="3"/>
  <c r="D175" i="3"/>
  <c r="D174" i="3"/>
  <c r="D172" i="3"/>
  <c r="D169" i="3"/>
  <c r="D168" i="3"/>
  <c r="D166" i="3"/>
  <c r="D163" i="3"/>
  <c r="D162" i="3"/>
  <c r="D160" i="3"/>
  <c r="D157" i="3"/>
  <c r="D156" i="3"/>
  <c r="D154" i="3"/>
  <c r="D151" i="3"/>
  <c r="D150" i="3"/>
  <c r="D148" i="3"/>
  <c r="D145" i="3"/>
  <c r="D144" i="3"/>
  <c r="D142" i="3"/>
  <c r="D139" i="3"/>
  <c r="D138" i="3"/>
  <c r="D136" i="3"/>
  <c r="D133" i="3"/>
  <c r="D132" i="3"/>
  <c r="D130" i="3"/>
  <c r="D127" i="3"/>
  <c r="D126" i="3"/>
  <c r="D124" i="3"/>
  <c r="D121" i="3"/>
  <c r="D120" i="3"/>
  <c r="D118" i="3"/>
  <c r="D115" i="3"/>
  <c r="D114" i="3"/>
  <c r="D112" i="3"/>
  <c r="D134" i="3"/>
  <c r="D135" i="3"/>
  <c r="D140" i="3"/>
  <c r="D141" i="3"/>
  <c r="D146" i="3"/>
  <c r="D147" i="3"/>
  <c r="D152" i="3"/>
  <c r="D153" i="3"/>
  <c r="D158" i="3"/>
  <c r="D159" i="3"/>
  <c r="D164" i="3"/>
  <c r="D165" i="3"/>
  <c r="D170" i="3"/>
  <c r="D171" i="3"/>
  <c r="D176" i="3"/>
  <c r="D177" i="3"/>
  <c r="D182" i="3"/>
  <c r="D183" i="3"/>
  <c r="D188" i="3"/>
  <c r="D189" i="3"/>
  <c r="D194" i="3"/>
  <c r="D195" i="3"/>
  <c r="D200" i="3"/>
  <c r="D201" i="3"/>
  <c r="D129" i="3"/>
  <c r="D128" i="3"/>
  <c r="D123" i="3"/>
  <c r="D122" i="3"/>
  <c r="D117" i="3"/>
  <c r="D116" i="3"/>
  <c r="D109" i="3"/>
  <c r="D108" i="3"/>
  <c r="D106" i="3"/>
  <c r="D111" i="3"/>
  <c r="D110" i="3"/>
  <c r="D100" i="3"/>
  <c r="D103" i="3"/>
  <c r="D102" i="3"/>
  <c r="E115" i="3" a="1"/>
  <c r="E115" i="3" s="1"/>
  <c r="E116" i="3" a="1"/>
  <c r="E116" i="3" s="1"/>
  <c r="E121" i="3" a="1"/>
  <c r="E121" i="3" s="1"/>
  <c r="E122" i="3" a="1"/>
  <c r="E122" i="3" s="1"/>
  <c r="E127" i="3" a="1"/>
  <c r="E127" i="3" s="1"/>
  <c r="E128" i="3" a="1"/>
  <c r="E128" i="3" s="1"/>
  <c r="E133" i="3" a="1"/>
  <c r="E133" i="3" s="1"/>
  <c r="E134" i="3" a="1"/>
  <c r="E134" i="3" s="1"/>
  <c r="E139" i="3" a="1"/>
  <c r="E139" i="3" s="1"/>
  <c r="E140" i="3" a="1"/>
  <c r="E140" i="3" s="1"/>
  <c r="E145" i="3" a="1"/>
  <c r="E145" i="3" s="1"/>
  <c r="E146" i="3" a="1"/>
  <c r="E146" i="3" s="1"/>
  <c r="E151" i="3" a="1"/>
  <c r="E151" i="3" s="1"/>
  <c r="E152" i="3" a="1"/>
  <c r="E152" i="3" s="1"/>
  <c r="E157" i="3" a="1"/>
  <c r="E157" i="3" s="1"/>
  <c r="E158" i="3" a="1"/>
  <c r="E158" i="3" s="1"/>
  <c r="E163" i="3" a="1"/>
  <c r="E163" i="3" s="1"/>
  <c r="E164" i="3" a="1"/>
  <c r="E164" i="3" s="1"/>
  <c r="E169" i="3" a="1"/>
  <c r="E169" i="3" s="1"/>
  <c r="E170" i="3" a="1"/>
  <c r="E170" i="3" s="1"/>
  <c r="E175" i="3" a="1"/>
  <c r="E175" i="3" s="1"/>
  <c r="E176" i="3" a="1"/>
  <c r="E176" i="3" s="1"/>
  <c r="E181" i="3" a="1"/>
  <c r="E181" i="3" s="1"/>
  <c r="E182" i="3" a="1"/>
  <c r="E182" i="3" s="1"/>
  <c r="E187" i="3" a="1"/>
  <c r="E187" i="3" s="1"/>
  <c r="E188" i="3" a="1"/>
  <c r="E188" i="3" s="1"/>
  <c r="E193" i="3" a="1"/>
  <c r="E193" i="3" s="1"/>
  <c r="E194" i="3" a="1"/>
  <c r="E194" i="3" s="1"/>
  <c r="E199" i="3" a="1"/>
  <c r="E199" i="3" s="1"/>
  <c r="E200" i="3" a="1"/>
  <c r="E200" i="3" s="1"/>
  <c r="E109" i="3" a="1"/>
  <c r="E109" i="3" s="1"/>
  <c r="E110" i="3" a="1"/>
  <c r="E110" i="3" s="1"/>
  <c r="E104" i="3" a="1"/>
  <c r="E104" i="3" s="1"/>
  <c r="E103" i="3" a="1"/>
  <c r="E103" i="3" s="1"/>
  <c r="D104" i="3"/>
  <c r="C105" i="3"/>
  <c r="G105" i="3" s="1"/>
  <c r="D99" i="3"/>
  <c r="D97" i="3"/>
  <c r="D98" i="3"/>
  <c r="D96" i="3"/>
  <c r="C99" i="3"/>
  <c r="C97" i="3"/>
  <c r="F97" i="3" s="1" a="1"/>
  <c r="F97" i="3" s="1"/>
  <c r="C98" i="3"/>
  <c r="C96" i="3"/>
  <c r="D105" i="3"/>
  <c r="D95" i="3"/>
  <c r="C203" i="3" l="1"/>
  <c r="C205" i="3"/>
  <c r="F205" i="3" s="1"/>
  <c r="G141" i="3"/>
  <c r="F177" i="3" a="1"/>
  <c r="F177" i="3" s="1"/>
  <c r="F189" i="3" a="1"/>
  <c r="F189" i="3" s="1"/>
  <c r="F135" i="3" a="1"/>
  <c r="F135" i="3" s="1"/>
  <c r="F183" i="3" a="1"/>
  <c r="F183" i="3" s="1"/>
  <c r="F159" i="3" a="1"/>
  <c r="F159" i="3" s="1"/>
  <c r="F129" i="3" a="1"/>
  <c r="F129" i="3" s="1"/>
  <c r="F105" i="3" a="1"/>
  <c r="F105" i="3" s="1"/>
  <c r="F153" i="3" a="1"/>
  <c r="F153" i="3" s="1"/>
  <c r="F201" i="3" a="1"/>
  <c r="F201" i="3" s="1"/>
  <c r="F171" i="3" a="1"/>
  <c r="F171" i="3" s="1"/>
  <c r="F123" i="3" a="1"/>
  <c r="F123" i="3" s="1"/>
  <c r="F147" i="3" a="1"/>
  <c r="F147" i="3" s="1"/>
  <c r="F117" i="3" a="1"/>
  <c r="F117" i="3" s="1"/>
  <c r="F195" i="3" a="1"/>
  <c r="F195" i="3" s="1"/>
  <c r="F165" i="3" a="1"/>
  <c r="F165" i="3" s="1"/>
  <c r="F111" i="3" a="1"/>
  <c r="F111" i="3" s="1"/>
  <c r="G187" i="3" a="1"/>
  <c r="G187" i="3" s="1"/>
  <c r="F172" i="3" a="1"/>
  <c r="F172" i="3" s="1"/>
  <c r="F166" i="3" a="1"/>
  <c r="F166" i="3" s="1"/>
  <c r="F160" i="3" a="1"/>
  <c r="F160" i="3" s="1"/>
  <c r="F184" i="3" a="1"/>
  <c r="F184" i="3" s="1"/>
  <c r="F100" i="3" a="1"/>
  <c r="F100" i="3" s="1"/>
  <c r="F136" i="3" a="1"/>
  <c r="F136" i="3" s="1"/>
  <c r="F178" i="3" a="1"/>
  <c r="F178" i="3" s="1"/>
  <c r="F154" i="3" a="1"/>
  <c r="F154" i="3" s="1"/>
  <c r="F130" i="3" a="1"/>
  <c r="F130" i="3" s="1"/>
  <c r="F148" i="3" a="1"/>
  <c r="F148" i="3" s="1"/>
  <c r="F190" i="3" a="1"/>
  <c r="F190" i="3" s="1"/>
  <c r="F118" i="3" a="1"/>
  <c r="F118" i="3" s="1"/>
  <c r="F142" i="3" a="1"/>
  <c r="F142" i="3" s="1"/>
  <c r="F112" i="3" a="1"/>
  <c r="F112" i="3" s="1"/>
  <c r="F196" i="3" a="1"/>
  <c r="F196" i="3" s="1"/>
  <c r="G175" i="3" a="1"/>
  <c r="G175" i="3" s="1"/>
  <c r="G133" i="3" a="1"/>
  <c r="G133" i="3" s="1"/>
  <c r="G157" i="3" a="1"/>
  <c r="G157" i="3" s="1"/>
  <c r="G193" i="3" a="1"/>
  <c r="G193" i="3" s="1"/>
  <c r="G109" i="3" a="1"/>
  <c r="G109" i="3" s="1"/>
  <c r="G127" i="3" a="1"/>
  <c r="G127" i="3" s="1"/>
  <c r="G163" i="3" a="1"/>
  <c r="G163" i="3" s="1"/>
  <c r="G145" i="3" a="1"/>
  <c r="G145" i="3" s="1"/>
  <c r="G121" i="3" a="1"/>
  <c r="G121" i="3" s="1"/>
  <c r="G169" i="3" a="1"/>
  <c r="G169" i="3" s="1"/>
  <c r="G181" i="3" a="1"/>
  <c r="G181" i="3" s="1"/>
  <c r="G139" i="3" a="1"/>
  <c r="G139" i="3" s="1"/>
  <c r="G199" i="3" a="1"/>
  <c r="G199" i="3" s="1"/>
  <c r="G115" i="3" a="1"/>
  <c r="G115" i="3" s="1"/>
  <c r="G151" i="3" a="1"/>
  <c r="G151" i="3" s="1"/>
  <c r="G103" i="3" a="1"/>
  <c r="G103" i="3" s="1"/>
  <c r="G98" i="3" a="1"/>
  <c r="G98" i="3" s="1"/>
  <c r="G96" i="3" a="1"/>
  <c r="G96" i="3" s="1"/>
  <c r="G203" i="3" l="1"/>
  <c r="F203" i="3"/>
  <c r="G104" i="3"/>
  <c r="G158" i="3" s="1"/>
  <c r="G164" i="3" s="1"/>
  <c r="G170" i="3" s="1"/>
  <c r="G176" i="3" s="1"/>
  <c r="G182" i="3" s="1"/>
  <c r="G188" i="3" s="1"/>
  <c r="G194" i="3" s="1"/>
  <c r="G200" i="3" s="1"/>
  <c r="G110" i="3" s="1"/>
  <c r="G116" i="3" s="1"/>
  <c r="G122" i="3" s="1"/>
  <c r="G128" i="3" s="1"/>
  <c r="G134" i="3" s="1"/>
  <c r="G140" i="3" s="1"/>
  <c r="G146" i="3" s="1"/>
  <c r="G152" i="3" s="1"/>
  <c r="F91" i="3" l="1" a="1"/>
  <c r="F91" i="3" s="1"/>
  <c r="F92" i="3" a="1"/>
  <c r="F92" i="3" s="1"/>
  <c r="F90" i="3" a="1"/>
  <c r="F90" i="3" s="1"/>
  <c r="F89" i="3" a="1"/>
  <c r="F89" i="3" s="1"/>
  <c r="F88" i="3" a="1"/>
  <c r="F88" i="3" s="1"/>
  <c r="F87" i="3" a="1"/>
  <c r="F87" i="3" s="1"/>
  <c r="E94" i="3"/>
  <c r="E93" i="3"/>
  <c r="D91" i="3"/>
  <c r="D92" i="3"/>
  <c r="D90" i="3"/>
  <c r="D87" i="3"/>
  <c r="C83" i="3"/>
  <c r="D88" i="3"/>
  <c r="D89" i="3"/>
  <c r="F69" i="3"/>
  <c r="G83" i="3" l="1" a="1"/>
  <c r="G83" i="3" s="1"/>
  <c r="D85" i="3"/>
  <c r="D86" i="3"/>
  <c r="D84" i="3"/>
  <c r="E86" i="3"/>
  <c r="E85" i="3"/>
  <c r="E84" i="3"/>
  <c r="E69" i="3"/>
  <c r="C95" i="3"/>
  <c r="C93" i="3"/>
  <c r="C94" i="3"/>
  <c r="C91" i="3"/>
  <c r="C92" i="3"/>
  <c r="C90" i="3"/>
  <c r="C88" i="3"/>
  <c r="C89" i="3"/>
  <c r="C87" i="3"/>
  <c r="C85" i="3"/>
  <c r="G85" i="3" s="1" a="1"/>
  <c r="G85" i="3" s="1"/>
  <c r="C86" i="3"/>
  <c r="G86" i="3" s="1" a="1"/>
  <c r="G86" i="3" s="1"/>
  <c r="C84" i="3"/>
  <c r="G84" i="3" s="1" a="1"/>
  <c r="G84" i="3" s="1"/>
  <c r="F99" i="3" a="1"/>
  <c r="F99" i="3" s="1"/>
  <c r="D33" i="1"/>
  <c r="D197" i="3" s="1"/>
  <c r="D32" i="1"/>
  <c r="D191" i="3" s="1"/>
  <c r="D31" i="1"/>
  <c r="D185" i="3" s="1"/>
  <c r="D30" i="1"/>
  <c r="D179" i="3" s="1"/>
  <c r="D29" i="1"/>
  <c r="D173" i="3" s="1"/>
  <c r="D28" i="1"/>
  <c r="D167" i="3" s="1"/>
  <c r="D27" i="1"/>
  <c r="D161" i="3" s="1"/>
  <c r="D26" i="1"/>
  <c r="D155" i="3" s="1"/>
  <c r="D25" i="1"/>
  <c r="D149" i="3" s="1"/>
  <c r="D24" i="1"/>
  <c r="D143" i="3" s="1"/>
  <c r="D23" i="1"/>
  <c r="D137" i="3" s="1"/>
  <c r="D22" i="1"/>
  <c r="D131" i="3" s="1"/>
  <c r="D21" i="1"/>
  <c r="D125" i="3" s="1"/>
  <c r="D20" i="1"/>
  <c r="D119" i="3" s="1"/>
  <c r="D19" i="1"/>
  <c r="D113" i="3" s="1"/>
  <c r="D18" i="1"/>
  <c r="D107" i="3" s="1"/>
  <c r="D17" i="1"/>
  <c r="D101" i="3" s="1"/>
  <c r="F107" i="3" a="1"/>
  <c r="F107" i="3" s="1"/>
  <c r="G124" i="3" l="1" a="1"/>
  <c r="G124" i="3" s="1"/>
  <c r="F124" i="3" a="1"/>
  <c r="F124" i="3" s="1"/>
  <c r="G94" i="3"/>
  <c r="F94" i="3" a="1"/>
  <c r="F94" i="3" s="1"/>
  <c r="F93" i="3" a="1"/>
  <c r="F93" i="3" s="1"/>
  <c r="G93" i="3"/>
  <c r="G95" i="3"/>
  <c r="F95" i="3"/>
  <c r="F86" i="3" a="1"/>
  <c r="F86" i="3" s="1"/>
  <c r="F85" i="3" a="1"/>
  <c r="F85" i="3" s="1"/>
  <c r="F84" i="3" a="1"/>
  <c r="F84" i="3" s="1"/>
  <c r="D81" i="3"/>
  <c r="D82" i="3"/>
  <c r="D83" i="3"/>
  <c r="D80" i="3"/>
  <c r="C81" i="3"/>
  <c r="C82" i="3"/>
  <c r="F82" i="3" s="1" a="1"/>
  <c r="F82" i="3" s="1"/>
  <c r="F83" i="3" a="1"/>
  <c r="F83" i="3" s="1"/>
  <c r="C80" i="3"/>
  <c r="G80" i="3" s="1" a="1"/>
  <c r="G80" i="3" s="1"/>
  <c r="G82" i="3" l="1" a="1"/>
  <c r="G82" i="3" s="1"/>
  <c r="F81" i="3" a="1"/>
  <c r="F81" i="3" s="1"/>
  <c r="G81" i="3" a="1"/>
  <c r="G81" i="3" s="1"/>
  <c r="F80" i="3" a="1"/>
  <c r="F80" i="3" s="1"/>
  <c r="C71" i="3"/>
  <c r="C72" i="3"/>
  <c r="C73" i="3"/>
  <c r="C74" i="3"/>
  <c r="C75" i="3"/>
  <c r="C76" i="3"/>
  <c r="C77" i="3"/>
  <c r="C78" i="3"/>
  <c r="C79" i="3"/>
  <c r="G79" i="3" s="1"/>
  <c r="C70" i="3"/>
  <c r="H30" i="2" a="1"/>
  <c r="H30" i="2" s="1"/>
  <c r="E68" i="3"/>
  <c r="D69" i="3"/>
  <c r="C68" i="3"/>
  <c r="G68" i="3" s="1"/>
  <c r="G106" i="3" l="1" a="1"/>
  <c r="G106" i="3" s="1"/>
  <c r="F106" i="3" a="1"/>
  <c r="F106" i="3" s="1"/>
  <c r="G76" i="3"/>
  <c r="G75" i="3"/>
  <c r="G74" i="3"/>
  <c r="G73" i="3"/>
  <c r="G70" i="3"/>
  <c r="G78" i="3"/>
  <c r="G72" i="3"/>
  <c r="G77" i="3"/>
  <c r="G71" i="3"/>
  <c r="D67" i="3"/>
  <c r="D66" i="3"/>
  <c r="C67" i="3"/>
  <c r="C66" i="3"/>
  <c r="G69" i="3" l="1"/>
  <c r="G66" i="3"/>
  <c r="C69" i="3"/>
  <c r="E30" i="2" s="1"/>
  <c r="F30" i="2" s="1" a="1"/>
  <c r="F30" i="2" s="1"/>
  <c r="D68" i="3" s="1"/>
  <c r="E67" i="3" a="1"/>
  <c r="E67" i="3" s="1"/>
  <c r="E66" i="3" a="1"/>
  <c r="E66" i="3" s="1"/>
  <c r="E63" i="3" a="1"/>
  <c r="E63" i="3" s="1"/>
  <c r="C63" i="3" l="1"/>
  <c r="D63" i="3" l="1" a="1"/>
  <c r="D63" i="3" s="1"/>
  <c r="G63" i="3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3" i="5"/>
  <c r="G10" i="3" l="1"/>
  <c r="F10" i="3" l="1"/>
  <c r="E10" i="3"/>
  <c r="C10" i="3"/>
  <c r="D10" i="3"/>
  <c r="C62" i="3"/>
  <c r="D62" i="3" s="1"/>
  <c r="C61" i="3"/>
  <c r="D56" i="3"/>
  <c r="D46" i="3"/>
  <c r="D36" i="3"/>
  <c r="D26" i="3"/>
  <c r="D16" i="3"/>
  <c r="D60" i="3"/>
  <c r="D50" i="3"/>
  <c r="D40" i="3"/>
  <c r="D30" i="3"/>
  <c r="D20" i="3"/>
  <c r="D59" i="3"/>
  <c r="D58" i="3"/>
  <c r="D57" i="3"/>
  <c r="D55" i="3"/>
  <c r="D54" i="3"/>
  <c r="D53" i="3"/>
  <c r="D52" i="3"/>
  <c r="D51" i="3"/>
  <c r="D49" i="3"/>
  <c r="D48" i="3"/>
  <c r="D47" i="3"/>
  <c r="D45" i="3"/>
  <c r="D44" i="3"/>
  <c r="D43" i="3"/>
  <c r="D42" i="3"/>
  <c r="D41" i="3"/>
  <c r="D39" i="3"/>
  <c r="D38" i="3"/>
  <c r="D37" i="3"/>
  <c r="D35" i="3"/>
  <c r="D34" i="3"/>
  <c r="D33" i="3"/>
  <c r="D32" i="3"/>
  <c r="D31" i="3"/>
  <c r="D29" i="3"/>
  <c r="D28" i="3"/>
  <c r="D27" i="3"/>
  <c r="D25" i="3"/>
  <c r="D24" i="3"/>
  <c r="D23" i="3"/>
  <c r="D22" i="3"/>
  <c r="D21" i="3"/>
  <c r="D19" i="3"/>
  <c r="D18" i="3"/>
  <c r="D17" i="3"/>
  <c r="D15" i="3"/>
  <c r="D14" i="3"/>
  <c r="D13" i="3"/>
  <c r="D11" i="3"/>
  <c r="D12" i="3"/>
  <c r="AP6" i="2" l="1"/>
  <c r="AP7" i="2"/>
  <c r="AP8" i="2"/>
  <c r="AP9" i="2"/>
  <c r="AP10" i="2"/>
  <c r="AP11" i="2"/>
  <c r="AP12" i="2"/>
  <c r="AP5" i="2"/>
  <c r="AE6" i="2"/>
  <c r="AF6" i="2"/>
  <c r="AG6" i="2"/>
  <c r="AH6" i="2"/>
  <c r="AI6" i="2"/>
  <c r="AJ6" i="2"/>
  <c r="AK6" i="2"/>
  <c r="AL6" i="2"/>
  <c r="AM6" i="2"/>
  <c r="AN6" i="2"/>
  <c r="AE7" i="2"/>
  <c r="AF7" i="2"/>
  <c r="AG7" i="2"/>
  <c r="AH7" i="2"/>
  <c r="AI7" i="2"/>
  <c r="AJ7" i="2"/>
  <c r="AK7" i="2"/>
  <c r="AL7" i="2"/>
  <c r="AM7" i="2"/>
  <c r="AN7" i="2"/>
  <c r="AE8" i="2"/>
  <c r="AF8" i="2"/>
  <c r="AG8" i="2"/>
  <c r="AH8" i="2"/>
  <c r="AI8" i="2"/>
  <c r="AJ8" i="2"/>
  <c r="AK8" i="2"/>
  <c r="AL8" i="2"/>
  <c r="AM8" i="2"/>
  <c r="AN8" i="2"/>
  <c r="AE9" i="2"/>
  <c r="AF9" i="2"/>
  <c r="AG9" i="2"/>
  <c r="AH9" i="2"/>
  <c r="AI9" i="2"/>
  <c r="AJ9" i="2"/>
  <c r="AK9" i="2"/>
  <c r="AL9" i="2"/>
  <c r="AM9" i="2"/>
  <c r="AN9" i="2"/>
  <c r="AE10" i="2"/>
  <c r="AF10" i="2"/>
  <c r="AG10" i="2"/>
  <c r="AH10" i="2"/>
  <c r="AI10" i="2"/>
  <c r="AJ10" i="2"/>
  <c r="AK10" i="2"/>
  <c r="AL10" i="2"/>
  <c r="AM10" i="2"/>
  <c r="AN10" i="2"/>
  <c r="AE11" i="2"/>
  <c r="AF11" i="2"/>
  <c r="AG11" i="2"/>
  <c r="AH11" i="2"/>
  <c r="AI11" i="2"/>
  <c r="AJ11" i="2"/>
  <c r="AK11" i="2"/>
  <c r="AL11" i="2"/>
  <c r="AM11" i="2"/>
  <c r="AN11" i="2"/>
  <c r="AE12" i="2"/>
  <c r="AF12" i="2"/>
  <c r="AG12" i="2"/>
  <c r="AH12" i="2"/>
  <c r="AI12" i="2"/>
  <c r="AJ12" i="2"/>
  <c r="AK12" i="2"/>
  <c r="AL12" i="2"/>
  <c r="AM12" i="2"/>
  <c r="AN12" i="2"/>
  <c r="AN5" i="2"/>
  <c r="AM5" i="2"/>
  <c r="AL5" i="2"/>
  <c r="AK5" i="2"/>
  <c r="AJ5" i="2"/>
  <c r="AI5" i="2"/>
  <c r="AH5" i="2"/>
  <c r="AG5" i="2"/>
  <c r="AF5" i="2"/>
  <c r="AE5" i="2"/>
  <c r="X29" i="2"/>
  <c r="X20" i="2"/>
  <c r="D61" i="3"/>
  <c r="AU8" i="2" l="1"/>
  <c r="AT5" i="2"/>
  <c r="AT8" i="2"/>
  <c r="AR7" i="2"/>
  <c r="AQ6" i="2"/>
  <c r="AQ9" i="2"/>
  <c r="AS8" i="2"/>
  <c r="AQ7" i="2"/>
  <c r="AR6" i="2"/>
  <c r="AR8" i="2"/>
  <c r="AT7" i="2"/>
  <c r="AU7" i="2"/>
  <c r="AU5" i="2"/>
  <c r="AU9" i="2"/>
  <c r="AS9" i="2"/>
  <c r="AS11" i="2"/>
  <c r="AS10" i="2"/>
  <c r="AR5" i="2"/>
  <c r="AR9" i="2"/>
  <c r="AQ8" i="2"/>
  <c r="AT6" i="2"/>
  <c r="AT9" i="2"/>
  <c r="AS7" i="2"/>
  <c r="AS5" i="2"/>
  <c r="AS6" i="2"/>
  <c r="AQ5" i="2"/>
  <c r="AU6" i="2"/>
  <c r="AT11" i="2"/>
  <c r="AR11" i="2"/>
  <c r="AQ10" i="2"/>
  <c r="AQ11" i="2"/>
  <c r="AR10" i="2"/>
  <c r="AU10" i="2"/>
  <c r="AQ12" i="2"/>
  <c r="AU11" i="2"/>
  <c r="AT10" i="2"/>
  <c r="G61" i="3"/>
  <c r="AT12" i="2"/>
  <c r="AU12" i="2"/>
  <c r="AR12" i="2"/>
  <c r="AS12" i="2"/>
  <c r="E61" i="3"/>
  <c r="E62" i="3"/>
  <c r="C9" i="3"/>
  <c r="E9" i="3" l="1"/>
  <c r="C36" i="3"/>
  <c r="C35" i="3"/>
  <c r="C38" i="3"/>
  <c r="C37" i="3"/>
  <c r="C22" i="3"/>
  <c r="C21" i="3"/>
  <c r="C58" i="3"/>
  <c r="C57" i="3"/>
  <c r="C44" i="3"/>
  <c r="C43" i="3"/>
  <c r="C34" i="3"/>
  <c r="C33" i="3"/>
  <c r="C30" i="3"/>
  <c r="C29" i="3"/>
  <c r="C27" i="3"/>
  <c r="C28" i="3"/>
  <c r="C56" i="3"/>
  <c r="C55" i="3"/>
  <c r="C24" i="3"/>
  <c r="C23" i="3"/>
  <c r="C48" i="3"/>
  <c r="C47" i="3"/>
  <c r="C11" i="3"/>
  <c r="C12" i="3"/>
  <c r="C17" i="3"/>
  <c r="C18" i="3"/>
  <c r="C41" i="3"/>
  <c r="C42" i="3"/>
  <c r="C60" i="3"/>
  <c r="C59" i="3"/>
  <c r="C32" i="3"/>
  <c r="C31" i="3"/>
  <c r="C26" i="3"/>
  <c r="C25" i="3"/>
  <c r="C53" i="3"/>
  <c r="C54" i="3"/>
  <c r="C20" i="3"/>
  <c r="C19" i="3"/>
  <c r="C46" i="3"/>
  <c r="C45" i="3"/>
  <c r="C50" i="3"/>
  <c r="C49" i="3"/>
  <c r="C15" i="3"/>
  <c r="C16" i="3"/>
  <c r="C13" i="3"/>
  <c r="C14" i="3"/>
  <c r="C39" i="3"/>
  <c r="C40" i="3"/>
  <c r="C51" i="3"/>
  <c r="C52" i="3"/>
  <c r="E47" i="3" l="1"/>
  <c r="E43" i="3"/>
  <c r="E48" i="3"/>
  <c r="E44" i="3"/>
  <c r="E38" i="3"/>
  <c r="E52" i="3"/>
  <c r="E31" i="3"/>
  <c r="E57" i="3"/>
  <c r="E35" i="3"/>
  <c r="E51" i="3"/>
  <c r="E32" i="3"/>
  <c r="E58" i="3"/>
  <c r="E36" i="3"/>
  <c r="E40" i="3"/>
  <c r="E49" i="3"/>
  <c r="E54" i="3"/>
  <c r="E59" i="3"/>
  <c r="E55" i="3"/>
  <c r="E33" i="3"/>
  <c r="E39" i="3"/>
  <c r="E50" i="3"/>
  <c r="E53" i="3"/>
  <c r="E60" i="3"/>
  <c r="E56" i="3"/>
  <c r="E34" i="3"/>
  <c r="E45" i="3"/>
  <c r="E42" i="3"/>
  <c r="E37" i="3"/>
  <c r="E46" i="3"/>
  <c r="E41" i="3"/>
  <c r="E22" i="3"/>
  <c r="E14" i="3"/>
  <c r="E25" i="3"/>
  <c r="E12" i="3"/>
  <c r="E21" i="3"/>
  <c r="E28" i="3"/>
  <c r="E13" i="3"/>
  <c r="E26" i="3"/>
  <c r="E27" i="3"/>
  <c r="E16" i="3"/>
  <c r="E19" i="3"/>
  <c r="E18" i="3"/>
  <c r="E23" i="3"/>
  <c r="E29" i="3"/>
  <c r="E15" i="3"/>
  <c r="E20" i="3"/>
  <c r="E17" i="3"/>
  <c r="E24" i="3"/>
  <c r="E30" i="3"/>
  <c r="E11" i="3"/>
  <c r="M1" i="2" l="1" a="1"/>
  <c r="M1" i="2" s="1"/>
  <c r="M2" i="2" a="1"/>
  <c r="M2" i="2" s="1"/>
  <c r="F3" i="3"/>
  <c r="C3" i="3" l="1"/>
  <c r="C2" i="3"/>
  <c r="F2" i="3"/>
  <c r="C6" i="3" l="1"/>
  <c r="C5" i="3"/>
  <c r="C8" i="3"/>
  <c r="C7" i="3"/>
  <c r="G9" i="3" l="1"/>
  <c r="G7" i="3"/>
  <c r="E8" i="3"/>
  <c r="E5" i="3"/>
  <c r="G5" i="3"/>
  <c r="E6" i="3"/>
  <c r="D8" i="3"/>
  <c r="E7" i="3"/>
  <c r="D5" i="3"/>
  <c r="D7" i="3"/>
  <c r="D6" i="3"/>
  <c r="F261" i="3" l="1" a="1"/>
  <c r="F261" i="3" s="1"/>
  <c r="C269" i="3" s="1"/>
  <c r="G259" i="3" a="1"/>
  <c r="G259" i="3" s="1"/>
  <c r="G260" i="3" s="1"/>
  <c r="E263" i="3" s="1"/>
  <c r="F263" i="3" s="1"/>
  <c r="F264" i="3" s="1"/>
  <c r="F262" i="3" l="1"/>
  <c r="F265" i="3" s="1"/>
  <c r="C270" i="3"/>
  <c r="F266" i="3"/>
  <c r="C271" i="3" s="1"/>
  <c r="C272" i="3" s="1"/>
  <c r="F26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<sst xmlns="http://schemas.openxmlformats.org/spreadsheetml/2006/main" count="1429" uniqueCount="418">
  <si>
    <t>BASIC INFORMATION</t>
  </si>
  <si>
    <t>ASME</t>
  </si>
  <si>
    <t>ASME(NO STAMP)</t>
  </si>
  <si>
    <t>API</t>
  </si>
  <si>
    <t>PER CUSTOMER DESIGN</t>
  </si>
  <si>
    <t>INCHES</t>
  </si>
  <si>
    <t>Savannah Tank &amp; Equipment Corporation</t>
  </si>
  <si>
    <t>QUOTATION NO</t>
  </si>
  <si>
    <t>DATE</t>
  </si>
  <si>
    <t>DESCRIPTION:</t>
  </si>
  <si>
    <t>SIZE</t>
  </si>
  <si>
    <t>ITEM</t>
  </si>
  <si>
    <t>QTY</t>
  </si>
  <si>
    <t>DESCRIPTION</t>
  </si>
  <si>
    <t>MOC</t>
  </si>
  <si>
    <t>MTRL $</t>
  </si>
  <si>
    <t>LABOR</t>
  </si>
  <si>
    <t>Blast &amp; Paint</t>
  </si>
  <si>
    <t>Galvanizing</t>
  </si>
  <si>
    <t>X-Ray</t>
  </si>
  <si>
    <t>Testing</t>
  </si>
  <si>
    <t>Cleaning</t>
  </si>
  <si>
    <t>Handling</t>
  </si>
  <si>
    <t>Total</t>
  </si>
  <si>
    <t>Add 5%</t>
  </si>
  <si>
    <t>Material Cost</t>
  </si>
  <si>
    <t>Material Markup 10%</t>
  </si>
  <si>
    <t>Labor $80</t>
  </si>
  <si>
    <t>Labor Markup 20%</t>
  </si>
  <si>
    <t>SubTotal</t>
  </si>
  <si>
    <t>Weld Supplies 3.33%</t>
  </si>
  <si>
    <t>QUOTED PRICE</t>
  </si>
  <si>
    <t>Price</t>
  </si>
  <si>
    <t>QUOTED VA$</t>
  </si>
  <si>
    <t>QUOTED VPH</t>
  </si>
  <si>
    <t>QUOTED GP$</t>
  </si>
  <si>
    <t>QUOTED GP%</t>
  </si>
  <si>
    <t xml:space="preserve">NOTE : </t>
  </si>
  <si>
    <t>"</t>
  </si>
  <si>
    <t xml:space="preserve"> X </t>
  </si>
  <si>
    <t xml:space="preserve"> ID </t>
  </si>
  <si>
    <t xml:space="preserve"> OD </t>
  </si>
  <si>
    <t>VERTICAL</t>
  </si>
  <si>
    <t>HORIZONTAL</t>
  </si>
  <si>
    <t xml:space="preserve">CONE TOP </t>
  </si>
  <si>
    <t>FLAT TOP</t>
  </si>
  <si>
    <t>FLAT BOTTOM</t>
  </si>
  <si>
    <t>INSULATION RINGS</t>
  </si>
  <si>
    <t>ANCHOR CHAIRS</t>
  </si>
  <si>
    <t>Baffles</t>
  </si>
  <si>
    <t>yes/no</t>
  </si>
  <si>
    <t>yes</t>
  </si>
  <si>
    <t>no</t>
  </si>
  <si>
    <t>If Yes</t>
  </si>
  <si>
    <t>Width</t>
  </si>
  <si>
    <t>Length</t>
  </si>
  <si>
    <t>BAFFLES</t>
  </si>
  <si>
    <t>BAFFLE SUPPORTS</t>
  </si>
  <si>
    <t>TYPE</t>
  </si>
  <si>
    <t>PIPE SCH</t>
  </si>
  <si>
    <t>GOOSENECK</t>
  </si>
  <si>
    <t>BLINDED</t>
  </si>
  <si>
    <t>Gasket Type</t>
  </si>
  <si>
    <t>Bolting</t>
  </si>
  <si>
    <t>Garlock 3000</t>
  </si>
  <si>
    <t>Nuts</t>
  </si>
  <si>
    <t>SA193-B7</t>
  </si>
  <si>
    <t>SA193-2H</t>
  </si>
  <si>
    <t>Flanges</t>
  </si>
  <si>
    <t>AGITATOR</t>
  </si>
  <si>
    <t>SCH40</t>
  </si>
  <si>
    <t>SCH80</t>
  </si>
  <si>
    <t>RFSO</t>
  </si>
  <si>
    <t>RFWN</t>
  </si>
  <si>
    <t>COUPLINGS</t>
  </si>
  <si>
    <t>1/8"</t>
  </si>
  <si>
    <t>1/4"</t>
  </si>
  <si>
    <t>3/4"</t>
  </si>
  <si>
    <t>3/8"</t>
  </si>
  <si>
    <t>1/2"</t>
  </si>
  <si>
    <t>1"</t>
  </si>
  <si>
    <t>1.5"</t>
  </si>
  <si>
    <t>2"</t>
  </si>
  <si>
    <t>3"</t>
  </si>
  <si>
    <t>4"</t>
  </si>
  <si>
    <t>6"</t>
  </si>
  <si>
    <t>8"</t>
  </si>
  <si>
    <t>10"</t>
  </si>
  <si>
    <t>12"</t>
  </si>
  <si>
    <t>PIPE STUB</t>
  </si>
  <si>
    <t>5"</t>
  </si>
  <si>
    <t>14"</t>
  </si>
  <si>
    <t>16"</t>
  </si>
  <si>
    <t>18"</t>
  </si>
  <si>
    <t>20"</t>
  </si>
  <si>
    <t>24"</t>
  </si>
  <si>
    <t>30"</t>
  </si>
  <si>
    <t>MANWAYS</t>
  </si>
  <si>
    <t>150#</t>
  </si>
  <si>
    <t>CLASS</t>
  </si>
  <si>
    <t xml:space="preserve"> </t>
  </si>
  <si>
    <t>Couplings</t>
  </si>
  <si>
    <t>Pipe stub</t>
  </si>
  <si>
    <t>manway #1 neck</t>
  </si>
  <si>
    <t>manway #2 neck</t>
  </si>
  <si>
    <t>manway #3 neck</t>
  </si>
  <si>
    <t>manway #1 flange</t>
  </si>
  <si>
    <t>manway #2 flange</t>
  </si>
  <si>
    <t>manway #3 flange</t>
  </si>
  <si>
    <t>Manway #1 Cover</t>
  </si>
  <si>
    <t>Manway #2 Cover</t>
  </si>
  <si>
    <t>Manway #3 Cover</t>
  </si>
  <si>
    <t>Davit Arms</t>
  </si>
  <si>
    <t>Hinge &amp; Handle</t>
  </si>
  <si>
    <t>Bolt Nut Gasket</t>
  </si>
  <si>
    <t>Gooseneck Vent #1</t>
  </si>
  <si>
    <t>Gooseneck Vent #2</t>
  </si>
  <si>
    <t>Flange #1</t>
  </si>
  <si>
    <t>Pipe #1</t>
  </si>
  <si>
    <t>Blind #1</t>
  </si>
  <si>
    <t>Repad #1</t>
  </si>
  <si>
    <t>Gusset #1</t>
  </si>
  <si>
    <t>Flange #2</t>
  </si>
  <si>
    <t>Pipe #2</t>
  </si>
  <si>
    <t>Blind #2</t>
  </si>
  <si>
    <t>Repad #2</t>
  </si>
  <si>
    <t>Gusset #2</t>
  </si>
  <si>
    <t>Flange #3</t>
  </si>
  <si>
    <t>Pipe #3</t>
  </si>
  <si>
    <t>Blind #3</t>
  </si>
  <si>
    <t>Repad #3</t>
  </si>
  <si>
    <t>Gusset #3</t>
  </si>
  <si>
    <t>Flange #4</t>
  </si>
  <si>
    <t>Pipe #4</t>
  </si>
  <si>
    <t>Blind #4</t>
  </si>
  <si>
    <t>Repad #4</t>
  </si>
  <si>
    <t>Gusset #4</t>
  </si>
  <si>
    <t>Flange #5</t>
  </si>
  <si>
    <t>Pipe #5</t>
  </si>
  <si>
    <t>Blind #5</t>
  </si>
  <si>
    <t>Repad #5</t>
  </si>
  <si>
    <t>Gusset #5</t>
  </si>
  <si>
    <t>Flange #6</t>
  </si>
  <si>
    <t>Pipe #6</t>
  </si>
  <si>
    <t>Blind #6</t>
  </si>
  <si>
    <t>Repad #6</t>
  </si>
  <si>
    <t>Gusset #6</t>
  </si>
  <si>
    <t>Flange #7</t>
  </si>
  <si>
    <t>Pipe #7</t>
  </si>
  <si>
    <t>Blind #7</t>
  </si>
  <si>
    <t>Repad #7</t>
  </si>
  <si>
    <t>Gusset #7</t>
  </si>
  <si>
    <t>Flange #8</t>
  </si>
  <si>
    <t>Pipe #8</t>
  </si>
  <si>
    <t>Blind #8</t>
  </si>
  <si>
    <t>Repad #8</t>
  </si>
  <si>
    <t>Gusset #8</t>
  </si>
  <si>
    <t>Flange #9</t>
  </si>
  <si>
    <t>Pipe #9</t>
  </si>
  <si>
    <t>Blind #9</t>
  </si>
  <si>
    <t>Repad #9</t>
  </si>
  <si>
    <t>Gusset #9</t>
  </si>
  <si>
    <t>Flange #10</t>
  </si>
  <si>
    <t>Pipe #10</t>
  </si>
  <si>
    <t>Blind #10</t>
  </si>
  <si>
    <t>Repad #10</t>
  </si>
  <si>
    <t>Gusset #10</t>
  </si>
  <si>
    <t>Flange #11</t>
  </si>
  <si>
    <t>Pipe #11</t>
  </si>
  <si>
    <t>Blind #11</t>
  </si>
  <si>
    <t>Repad #11</t>
  </si>
  <si>
    <t>Gusset #11</t>
  </si>
  <si>
    <t>Flange #12</t>
  </si>
  <si>
    <t>Pipe #12</t>
  </si>
  <si>
    <t>Blind #12</t>
  </si>
  <si>
    <t>Repad #12</t>
  </si>
  <si>
    <t>Gusset #12</t>
  </si>
  <si>
    <t>Flange #13</t>
  </si>
  <si>
    <t>Pipe #13</t>
  </si>
  <si>
    <t>Blind #13</t>
  </si>
  <si>
    <t>Repad #13</t>
  </si>
  <si>
    <t>Gusset #13</t>
  </si>
  <si>
    <t>Flange #14</t>
  </si>
  <si>
    <t>Pipe #14</t>
  </si>
  <si>
    <t>Blind #14</t>
  </si>
  <si>
    <t>Repad #14</t>
  </si>
  <si>
    <t>Gusset #14</t>
  </si>
  <si>
    <t>Flange #15</t>
  </si>
  <si>
    <t>Pipe #15</t>
  </si>
  <si>
    <t>Blind #15</t>
  </si>
  <si>
    <t>Repad #15</t>
  </si>
  <si>
    <t>Gusset #15</t>
  </si>
  <si>
    <t>Flange #16</t>
  </si>
  <si>
    <t>Pipe #16</t>
  </si>
  <si>
    <t>Blind #16</t>
  </si>
  <si>
    <t>Repad #16</t>
  </si>
  <si>
    <t>Gusset #16</t>
  </si>
  <si>
    <t>Flange #17</t>
  </si>
  <si>
    <t>Pipe #17</t>
  </si>
  <si>
    <t>Blind #17</t>
  </si>
  <si>
    <t>Repad #17</t>
  </si>
  <si>
    <t>Gusset #17</t>
  </si>
  <si>
    <t>qty</t>
  </si>
  <si>
    <t>MOC:</t>
  </si>
  <si>
    <t>sa36</t>
  </si>
  <si>
    <t>SS Plate #1</t>
  </si>
  <si>
    <t>SS plate #2</t>
  </si>
  <si>
    <t>CST plate #1</t>
  </si>
  <si>
    <t>CST plate #2</t>
  </si>
  <si>
    <t>Not Needed</t>
  </si>
  <si>
    <t>Thickness</t>
  </si>
  <si>
    <t>Roof</t>
  </si>
  <si>
    <t>Bottom</t>
  </si>
  <si>
    <t>Shell #1</t>
  </si>
  <si>
    <t>height</t>
  </si>
  <si>
    <t>Shell #2</t>
  </si>
  <si>
    <t>Shell #3</t>
  </si>
  <si>
    <t>Shell #4</t>
  </si>
  <si>
    <t>Shell #5</t>
  </si>
  <si>
    <t>Shell #6</t>
  </si>
  <si>
    <t>Shell #7</t>
  </si>
  <si>
    <t>Shell #8</t>
  </si>
  <si>
    <t>type</t>
  </si>
  <si>
    <t>thickness</t>
  </si>
  <si>
    <t>cone</t>
  </si>
  <si>
    <t>flat</t>
  </si>
  <si>
    <t>open</t>
  </si>
  <si>
    <t>RIM ANGLE</t>
  </si>
  <si>
    <t>flat top hrs</t>
  </si>
  <si>
    <t>cone top hrs</t>
  </si>
  <si>
    <t>bottom hours</t>
  </si>
  <si>
    <t>rim angle hr</t>
  </si>
  <si>
    <t>-</t>
  </si>
  <si>
    <t>SS</t>
  </si>
  <si>
    <t>CST</t>
  </si>
  <si>
    <t>THICKNESS</t>
  </si>
  <si>
    <t xml:space="preserve">LBS/SQ. FT. </t>
  </si>
  <si>
    <t>top weight</t>
  </si>
  <si>
    <t>shell 1 weight</t>
  </si>
  <si>
    <t>shell 2 weight</t>
  </si>
  <si>
    <t>shell 3 weight</t>
  </si>
  <si>
    <t>shell 4 weight</t>
  </si>
  <si>
    <t>shell 5 weight</t>
  </si>
  <si>
    <t>shell 6 weight</t>
  </si>
  <si>
    <t>shell 7 weight</t>
  </si>
  <si>
    <t>shell 8 weight</t>
  </si>
  <si>
    <t>bottom weight</t>
  </si>
  <si>
    <t>60 x 96</t>
  </si>
  <si>
    <t>48 x 144</t>
  </si>
  <si>
    <t>48 x 96</t>
  </si>
  <si>
    <t>60 x 192</t>
  </si>
  <si>
    <t>60 x 120</t>
  </si>
  <si>
    <t>60 x 210</t>
  </si>
  <si>
    <t>60 x 240</t>
  </si>
  <si>
    <t>60 x 280</t>
  </si>
  <si>
    <t>60 x 144</t>
  </si>
  <si>
    <t>48 x 240</t>
  </si>
  <si>
    <t>60 x 165</t>
  </si>
  <si>
    <t>60 x 175</t>
  </si>
  <si>
    <t>60 x 255</t>
  </si>
  <si>
    <t>72 x 240</t>
  </si>
  <si>
    <t>ss plate 1 width</t>
  </si>
  <si>
    <t>ss plate 1 length</t>
  </si>
  <si>
    <t>ss plate 2 width</t>
  </si>
  <si>
    <t>ss plate2 length</t>
  </si>
  <si>
    <t>cst 1 width</t>
  </si>
  <si>
    <t>cst 1 length</t>
  </si>
  <si>
    <t>cst 2 width</t>
  </si>
  <si>
    <t>cst 2 length</t>
  </si>
  <si>
    <t>3/16" X 2" X 2"</t>
  </si>
  <si>
    <t>3/16" X 3" X 3"</t>
  </si>
  <si>
    <t>1/4" X 2" X 2"</t>
  </si>
  <si>
    <t>1/4" X 3" X 3"</t>
  </si>
  <si>
    <t>3/8" X 2" X 2"</t>
  </si>
  <si>
    <t>3/8" X 3" X 3"</t>
  </si>
  <si>
    <t>FT</t>
  </si>
  <si>
    <t>IN</t>
  </si>
  <si>
    <t>HEIGHT</t>
  </si>
  <si>
    <t>SHEET 1</t>
  </si>
  <si>
    <t>SHEET 2</t>
  </si>
  <si>
    <t>SHEET 3</t>
  </si>
  <si>
    <t>SHEET 4</t>
  </si>
  <si>
    <t>SHEET 5</t>
  </si>
  <si>
    <t>SHEET 6</t>
  </si>
  <si>
    <t>SHEET 7</t>
  </si>
  <si>
    <t>SHEET 8</t>
  </si>
  <si>
    <t>SHEET 9</t>
  </si>
  <si>
    <t>SHEET 10</t>
  </si>
  <si>
    <t>STAINLESS STEEL</t>
  </si>
  <si>
    <t>CARBON STEEL</t>
  </si>
  <si>
    <t>SHEETS NEEDED</t>
  </si>
  <si>
    <t xml:space="preserve">SHELL 1 </t>
  </si>
  <si>
    <t>SHELL 2</t>
  </si>
  <si>
    <t>SHELL 3</t>
  </si>
  <si>
    <t>SHELL 4</t>
  </si>
  <si>
    <t>SHELL 5</t>
  </si>
  <si>
    <t>SHELL 6</t>
  </si>
  <si>
    <t>SHELL 7</t>
  </si>
  <si>
    <t>SHELL 8</t>
  </si>
  <si>
    <t>SHELL 3/16" X 48</t>
  </si>
  <si>
    <t>SHELL 3/16" X 60</t>
  </si>
  <si>
    <t>SHELL 3/16" X 72</t>
  </si>
  <si>
    <t>SHELL 3/16" X 96</t>
  </si>
  <si>
    <t>SHELL 3/16" X 120</t>
  </si>
  <si>
    <t>SHELL 1/4" X 48</t>
  </si>
  <si>
    <t>SHELL 1/4" X 60</t>
  </si>
  <si>
    <t>SHELL 1/4" X 72</t>
  </si>
  <si>
    <t>SHELL 1/4" X 96</t>
  </si>
  <si>
    <t>SHELL 1/4" X 120</t>
  </si>
  <si>
    <t>SHELL 5/16" X 48</t>
  </si>
  <si>
    <t>SHELL 5/16" X 60</t>
  </si>
  <si>
    <t>SHELL 5/16" X 72</t>
  </si>
  <si>
    <t>SHELL 5/16" X 96</t>
  </si>
  <si>
    <t>SHELL 5/16" X 120</t>
  </si>
  <si>
    <t>SHELL 3/8" X 48</t>
  </si>
  <si>
    <t>SHELL 3/8" X 60</t>
  </si>
  <si>
    <t>SHELL 3/8" X 72</t>
  </si>
  <si>
    <t>SHELL 3/8" X 96</t>
  </si>
  <si>
    <t>SHELL 3/8" X 120</t>
  </si>
  <si>
    <t>SHELL 1/2" X 48</t>
  </si>
  <si>
    <t>SHELL 1/2" X 60</t>
  </si>
  <si>
    <t>SHELL 1/2" X 72</t>
  </si>
  <si>
    <t>SHELL 1/2" X 96</t>
  </si>
  <si>
    <t>SHELL 1/2" X 120</t>
  </si>
  <si>
    <t>SHELL MANHOURS</t>
  </si>
  <si>
    <t>COURSES</t>
  </si>
  <si>
    <t>ROLLING HOURS</t>
  </si>
  <si>
    <t>SEAM WELDING</t>
  </si>
  <si>
    <t>Plate length</t>
  </si>
  <si>
    <t>insulation rings</t>
  </si>
  <si>
    <t>2" width</t>
  </si>
  <si>
    <t>2" length</t>
  </si>
  <si>
    <t>3" width</t>
  </si>
  <si>
    <t>3" length</t>
  </si>
  <si>
    <t>4" width</t>
  </si>
  <si>
    <t>4" Length</t>
  </si>
  <si>
    <t>YES/NO</t>
  </si>
  <si>
    <t>hours</t>
  </si>
  <si>
    <t>Gooseneck pipe</t>
  </si>
  <si>
    <t>Bolt Nut Gasket #1</t>
  </si>
  <si>
    <t>Bolt Nut Gasket #2</t>
  </si>
  <si>
    <t>Bolt Nut Gasket #3</t>
  </si>
  <si>
    <t>Bolt Nut Gasket #4</t>
  </si>
  <si>
    <t>Bolt Nut Gasket #5</t>
  </si>
  <si>
    <t>Bolt Nut Gasket #6</t>
  </si>
  <si>
    <t>Bolt Nut Gasket #7</t>
  </si>
  <si>
    <t>Bolt Nut Gasket #8</t>
  </si>
  <si>
    <t>Bolt Nut Gasket #9</t>
  </si>
  <si>
    <t>Bolt Nut Gasket #10</t>
  </si>
  <si>
    <t>Bolt Nut Gasket #11</t>
  </si>
  <si>
    <t>Bolt Nut Gasket #12</t>
  </si>
  <si>
    <t>Bolt Nut Gasket #13</t>
  </si>
  <si>
    <t>Bolt Nut Gasket #14</t>
  </si>
  <si>
    <t>Bolt Nut Gasket #15</t>
  </si>
  <si>
    <t>Bolt Nut Gasket #16</t>
  </si>
  <si>
    <t>Bolt Nut Gasket #17</t>
  </si>
  <si>
    <t>PIPE LENGTH/FT</t>
  </si>
  <si>
    <t>BAFFLE PLATE WIDTH</t>
  </si>
  <si>
    <t>BAFFLE LENGTH</t>
  </si>
  <si>
    <t>BAFFLE</t>
  </si>
  <si>
    <t>SPT</t>
  </si>
  <si>
    <t>1/8" 3000# Coupling</t>
  </si>
  <si>
    <t>1/4" 3000# Coupling</t>
  </si>
  <si>
    <t>3/8" 3000# Coupling</t>
  </si>
  <si>
    <t>1/2" 3000# Coupling</t>
  </si>
  <si>
    <t>3/4" 3000# Coupling</t>
  </si>
  <si>
    <t>1" 3000# Coupling</t>
  </si>
  <si>
    <t>1.5" 3000# Coupling</t>
  </si>
  <si>
    <t>2" 3000# Coupling</t>
  </si>
  <si>
    <t>3" 3000# Coupling</t>
  </si>
  <si>
    <t>4" 3000# Coupling</t>
  </si>
  <si>
    <t>Ladder</t>
  </si>
  <si>
    <t>Handrail</t>
  </si>
  <si>
    <t>Safety Gate</t>
  </si>
  <si>
    <t>Fall Restraint System</t>
  </si>
  <si>
    <t>14" and up nozzle necks cost</t>
  </si>
  <si>
    <t>Highest Pipe SCH</t>
  </si>
  <si>
    <t>pipe cost</t>
  </si>
  <si>
    <t>size</t>
  </si>
  <si>
    <t>sch 40</t>
  </si>
  <si>
    <t>sch80</t>
  </si>
  <si>
    <t>DAVIT</t>
  </si>
  <si>
    <t>HINGE</t>
  </si>
  <si>
    <t>DAVIT/HINGE</t>
  </si>
  <si>
    <t>12" X 63"</t>
  </si>
  <si>
    <t>12" X 76"</t>
  </si>
  <si>
    <t>12" X 95"</t>
  </si>
  <si>
    <t>Savannah Tank Standard</t>
  </si>
  <si>
    <t>rfso</t>
  </si>
  <si>
    <t>manway flanges &amp; blinds</t>
  </si>
  <si>
    <t>rfwn</t>
  </si>
  <si>
    <t>api flange</t>
  </si>
  <si>
    <t>api cover</t>
  </si>
  <si>
    <t>blind</t>
  </si>
  <si>
    <t>FLANGES</t>
  </si>
  <si>
    <t>SA36</t>
  </si>
  <si>
    <t>BLIND</t>
  </si>
  <si>
    <t>item #</t>
  </si>
  <si>
    <t>LADDER</t>
  </si>
  <si>
    <t>ACCESSORIES</t>
  </si>
  <si>
    <t>HANDRAILS</t>
  </si>
  <si>
    <t>Handrail Clips</t>
  </si>
  <si>
    <t>GALV/PAINT</t>
  </si>
  <si>
    <t>GALVANIZED</t>
  </si>
  <si>
    <t>PAINT</t>
  </si>
  <si>
    <t>ANGLE, 1/4" X 2" X 2" X 6 9/16"    MF" (1) 20'</t>
  </si>
  <si>
    <t>GROUND LUGS/NP</t>
  </si>
  <si>
    <t>LIFTING LUGS</t>
  </si>
  <si>
    <t>1/2" X 6" X 6"</t>
  </si>
  <si>
    <t>Quote ID</t>
  </si>
  <si>
    <t xml:space="preserve">Project ID </t>
  </si>
  <si>
    <t>Design Standard</t>
  </si>
  <si>
    <t>Shell Height</t>
  </si>
  <si>
    <t>Tank Diameter</t>
  </si>
  <si>
    <t>Inside Diameter</t>
  </si>
  <si>
    <t>Vertical Plate Thickness</t>
  </si>
  <si>
    <t>TOP PLATE THICKNESS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</si>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</sst>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;@"/>
    <numFmt numFmtId="165" formatCode="&quot;$&quot;#,##0"/>
    <numFmt numFmtId="166" formatCode="0.0"/>
    <numFmt numFmtId="167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5">
    <xf numFmtId="0" fontId="0" fillId="0" borderId="0" xfId="0"/>
    <xf numFmtId="0" fontId="0" fillId="2" borderId="0" xfId="0" applyFill="1"/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" fontId="2" fillId="0" borderId="6" xfId="0" applyNumberFormat="1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1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0" fontId="6" fillId="0" borderId="5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right" indent="1"/>
    </xf>
    <xf numFmtId="0" fontId="2" fillId="0" borderId="5" xfId="0" applyFont="1" applyBorder="1" applyAlignment="1">
      <alignment horizontal="right" vertical="center"/>
    </xf>
    <xf numFmtId="1" fontId="2" fillId="0" borderId="5" xfId="0" applyNumberFormat="1" applyFont="1" applyBorder="1" applyAlignment="1">
      <alignment horizontal="center"/>
    </xf>
    <xf numFmtId="0" fontId="0" fillId="0" borderId="6" xfId="0" applyBorder="1"/>
    <xf numFmtId="9" fontId="2" fillId="0" borderId="5" xfId="0" applyNumberFormat="1" applyFont="1" applyBorder="1" applyAlignment="1">
      <alignment horizontal="right"/>
    </xf>
    <xf numFmtId="14" fontId="2" fillId="0" borderId="4" xfId="0" applyNumberFormat="1" applyFont="1" applyBorder="1" applyAlignment="1">
      <alignment horizontal="left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0" fillId="3" borderId="0" xfId="0" applyFill="1"/>
    <xf numFmtId="49" fontId="0" fillId="0" borderId="0" xfId="0" applyNumberFormat="1"/>
    <xf numFmtId="0" fontId="0" fillId="0" borderId="5" xfId="0" applyBorder="1"/>
    <xf numFmtId="0" fontId="0" fillId="0" borderId="4" xfId="0" applyBorder="1"/>
    <xf numFmtId="0" fontId="0" fillId="0" borderId="11" xfId="0" applyBorder="1"/>
    <xf numFmtId="0" fontId="0" fillId="0" borderId="15" xfId="0" applyBorder="1"/>
    <xf numFmtId="13" fontId="0" fillId="0" borderId="0" xfId="0" applyNumberFormat="1"/>
    <xf numFmtId="0" fontId="0" fillId="0" borderId="0" xfId="0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0" fillId="0" borderId="21" xfId="0" applyBorder="1"/>
    <xf numFmtId="0" fontId="0" fillId="0" borderId="26" xfId="0" applyBorder="1"/>
    <xf numFmtId="0" fontId="5" fillId="4" borderId="5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2" xfId="0" applyBorder="1"/>
    <xf numFmtId="0" fontId="0" fillId="0" borderId="28" xfId="0" applyBorder="1"/>
    <xf numFmtId="0" fontId="0" fillId="0" borderId="1" xfId="0" applyBorder="1"/>
    <xf numFmtId="0" fontId="0" fillId="0" borderId="2" xfId="0" applyBorder="1"/>
    <xf numFmtId="0" fontId="0" fillId="0" borderId="25" xfId="0" applyBorder="1"/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0" fillId="4" borderId="5" xfId="0" applyFill="1" applyBorder="1"/>
    <xf numFmtId="13" fontId="0" fillId="4" borderId="5" xfId="0" applyNumberFormat="1" applyFill="1" applyBorder="1"/>
    <xf numFmtId="0" fontId="0" fillId="4" borderId="4" xfId="0" applyFill="1" applyBorder="1"/>
    <xf numFmtId="0" fontId="0" fillId="4" borderId="10" xfId="0" applyFill="1" applyBorder="1"/>
    <xf numFmtId="13" fontId="0" fillId="4" borderId="11" xfId="0" applyNumberFormat="1" applyFill="1" applyBorder="1"/>
    <xf numFmtId="0" fontId="0" fillId="4" borderId="11" xfId="0" applyFill="1" applyBorder="1"/>
    <xf numFmtId="0" fontId="0" fillId="4" borderId="6" xfId="0" applyFill="1" applyBorder="1"/>
    <xf numFmtId="0" fontId="0" fillId="4" borderId="12" xfId="0" applyFill="1" applyBorder="1"/>
    <xf numFmtId="0" fontId="0" fillId="0" borderId="10" xfId="0" applyBorder="1"/>
    <xf numFmtId="0" fontId="3" fillId="0" borderId="31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5" borderId="5" xfId="0" applyFill="1" applyBorder="1"/>
    <xf numFmtId="0" fontId="0" fillId="5" borderId="6" xfId="0" applyFill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3" fontId="5" fillId="0" borderId="5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3" fontId="5" fillId="0" borderId="9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9" fontId="7" fillId="0" borderId="5" xfId="1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2" xfId="0" applyBorder="1"/>
    <xf numFmtId="0" fontId="0" fillId="0" borderId="0" xfId="0" applyAlignment="1">
      <alignment horizontal="center" vertical="center"/>
    </xf>
    <xf numFmtId="0" fontId="0" fillId="0" borderId="8" xfId="0" applyBorder="1"/>
    <xf numFmtId="0" fontId="3" fillId="0" borderId="13" xfId="0" applyFont="1" applyBorder="1"/>
    <xf numFmtId="0" fontId="0" fillId="0" borderId="31" xfId="0" applyBorder="1"/>
    <xf numFmtId="0" fontId="0" fillId="0" borderId="15" xfId="0" applyBorder="1" applyAlignment="1">
      <alignment horizontal="center"/>
    </xf>
    <xf numFmtId="0" fontId="0" fillId="0" borderId="23" xfId="0" applyBorder="1"/>
    <xf numFmtId="0" fontId="0" fillId="0" borderId="18" xfId="0" applyBorder="1" applyAlignment="1">
      <alignment vertical="center"/>
    </xf>
    <xf numFmtId="0" fontId="0" fillId="0" borderId="35" xfId="0" applyBorder="1"/>
    <xf numFmtId="0" fontId="0" fillId="0" borderId="16" xfId="0" applyBorder="1"/>
    <xf numFmtId="0" fontId="0" fillId="4" borderId="5" xfId="0" applyFill="1" applyBorder="1" applyAlignment="1">
      <alignment vertical="center"/>
    </xf>
    <xf numFmtId="13" fontId="0" fillId="4" borderId="6" xfId="0" applyNumberFormat="1" applyFill="1" applyBorder="1"/>
    <xf numFmtId="0" fontId="0" fillId="0" borderId="4" xfId="0" applyBorder="1" applyAlignment="1">
      <alignment vertical="center"/>
    </xf>
    <xf numFmtId="13" fontId="0" fillId="4" borderId="6" xfId="0" applyNumberFormat="1" applyFill="1" applyBorder="1" applyAlignment="1">
      <alignment vertical="center"/>
    </xf>
    <xf numFmtId="13" fontId="0" fillId="4" borderId="12" xfId="0" applyNumberFormat="1" applyFill="1" applyBorder="1"/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0" fillId="4" borderId="29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13" fontId="0" fillId="4" borderId="5" xfId="0" applyNumberFormat="1" applyFill="1" applyBorder="1" applyAlignment="1">
      <alignment horizontal="center"/>
    </xf>
    <xf numFmtId="13" fontId="0" fillId="4" borderId="6" xfId="0" applyNumberFormat="1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5" borderId="2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12" fillId="0" borderId="3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14" fontId="2" fillId="0" borderId="4" xfId="0" applyNumberFormat="1" applyFont="1" applyBorder="1" applyAlignment="1">
      <alignment horizontal="left" vertical="center"/>
    </xf>
    <xf numFmtId="14" fontId="2" fillId="0" borderId="5" xfId="0" applyNumberFormat="1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left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vertical="center"/>
    </xf>
    <xf numFmtId="14" fontId="2" fillId="0" borderId="23" xfId="0" applyNumberFormat="1" applyFont="1" applyBorder="1" applyAlignment="1">
      <alignment vertical="center"/>
    </xf>
    <xf numFmtId="1" fontId="2" fillId="0" borderId="21" xfId="0" applyNumberFormat="1" applyFont="1" applyBorder="1" applyAlignment="1">
      <alignment horizontal="left" vertical="center"/>
    </xf>
    <xf numFmtId="1" fontId="2" fillId="0" borderId="23" xfId="0" applyNumberFormat="1" applyFont="1" applyBorder="1" applyAlignment="1">
      <alignment horizontal="left" vertical="center"/>
    </xf>
    <xf numFmtId="166" fontId="2" fillId="0" borderId="21" xfId="0" applyNumberFormat="1" applyFont="1" applyBorder="1" applyAlignment="1">
      <alignment horizontal="left" vertical="center"/>
    </xf>
    <xf numFmtId="166" fontId="2" fillId="0" borderId="23" xfId="0" applyNumberFormat="1" applyFont="1" applyBorder="1" applyAlignment="1">
      <alignment horizontal="left" vertical="center"/>
    </xf>
    <xf numFmtId="167" fontId="2" fillId="0" borderId="21" xfId="0" applyNumberFormat="1" applyFont="1" applyBorder="1" applyAlignment="1">
      <alignment horizontal="left" vertical="center"/>
    </xf>
    <xf numFmtId="167" fontId="2" fillId="0" borderId="23" xfId="0" applyNumberFormat="1" applyFont="1" applyBorder="1" applyAlignment="1">
      <alignment horizontal="left" vertical="center"/>
    </xf>
    <xf numFmtId="165" fontId="2" fillId="0" borderId="21" xfId="0" applyNumberFormat="1" applyFont="1" applyBorder="1" applyAlignment="1">
      <alignment horizontal="left"/>
    </xf>
    <xf numFmtId="165" fontId="2" fillId="0" borderId="23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left" vertical="center"/>
    </xf>
    <xf numFmtId="14" fontId="5" fillId="0" borderId="6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lly\Downloads\Pricing.xlsx" TargetMode="External"/><Relationship Id="rId1" Type="http://schemas.openxmlformats.org/officeDocument/2006/relationships/externalLinkPath" Target="Pric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Plate"/>
    </sheetNames>
    <sheetDataSet>
      <sheetData sheetId="0">
        <row r="4">
          <cell r="CB4">
            <v>27</v>
          </cell>
          <cell r="CK4">
            <v>27</v>
          </cell>
        </row>
        <row r="5">
          <cell r="CB5">
            <v>32</v>
          </cell>
        </row>
        <row r="6">
          <cell r="CB6">
            <v>43</v>
          </cell>
        </row>
        <row r="7">
          <cell r="AL7">
            <v>17</v>
          </cell>
          <cell r="BB7">
            <v>48</v>
          </cell>
          <cell r="BK7">
            <v>49</v>
          </cell>
          <cell r="CB7">
            <v>68</v>
          </cell>
          <cell r="CK7">
            <v>69</v>
          </cell>
        </row>
        <row r="8">
          <cell r="CB8">
            <v>94</v>
          </cell>
          <cell r="CK8">
            <v>102</v>
          </cell>
        </row>
        <row r="10">
          <cell r="BB10">
            <v>99</v>
          </cell>
          <cell r="BK10">
            <v>107</v>
          </cell>
          <cell r="CK10">
            <v>153</v>
          </cell>
        </row>
        <row r="11">
          <cell r="CB11">
            <v>268</v>
          </cell>
        </row>
        <row r="12">
          <cell r="BK12">
            <v>318</v>
          </cell>
        </row>
        <row r="13">
          <cell r="BK13">
            <v>401</v>
          </cell>
        </row>
        <row r="14">
          <cell r="BB14">
            <v>545</v>
          </cell>
        </row>
        <row r="15">
          <cell r="CB15">
            <v>750</v>
          </cell>
        </row>
        <row r="16">
          <cell r="CB16">
            <v>785</v>
          </cell>
        </row>
        <row r="17">
          <cell r="BK17">
            <v>1500</v>
          </cell>
        </row>
        <row r="18">
          <cell r="BB18">
            <v>1085</v>
          </cell>
          <cell r="CB18">
            <v>2125</v>
          </cell>
          <cell r="CK18">
            <v>2615</v>
          </cell>
        </row>
        <row r="23">
          <cell r="BB23">
            <v>22</v>
          </cell>
        </row>
        <row r="25">
          <cell r="BB25">
            <v>33</v>
          </cell>
        </row>
        <row r="26">
          <cell r="BB26">
            <v>54</v>
          </cell>
        </row>
        <row r="27">
          <cell r="BB27">
            <v>75</v>
          </cell>
        </row>
        <row r="29">
          <cell r="BB29">
            <v>129</v>
          </cell>
        </row>
        <row r="30">
          <cell r="BB30">
            <v>217</v>
          </cell>
        </row>
        <row r="31">
          <cell r="BB31">
            <v>321</v>
          </cell>
        </row>
        <row r="32">
          <cell r="BB32">
            <v>500</v>
          </cell>
        </row>
        <row r="34">
          <cell r="BB34">
            <v>695</v>
          </cell>
        </row>
        <row r="92">
          <cell r="BB92">
            <v>7</v>
          </cell>
          <cell r="CB92">
            <v>11</v>
          </cell>
        </row>
        <row r="93">
          <cell r="CB93">
            <v>20</v>
          </cell>
        </row>
        <row r="94">
          <cell r="BB94">
            <v>14</v>
          </cell>
          <cell r="CA94" t="str">
            <v>SA312-316/316L WLD</v>
          </cell>
          <cell r="CB94">
            <v>25</v>
          </cell>
        </row>
        <row r="95">
          <cell r="BB95">
            <v>36</v>
          </cell>
          <cell r="CB95">
            <v>50</v>
          </cell>
        </row>
        <row r="96">
          <cell r="AB96" t="str">
            <v>SA53-B WLD</v>
          </cell>
          <cell r="BA96" t="str">
            <v>SA312-304/304L WLD</v>
          </cell>
          <cell r="BB96">
            <v>50</v>
          </cell>
          <cell r="CB96">
            <v>65</v>
          </cell>
        </row>
        <row r="98">
          <cell r="AC98">
            <v>112</v>
          </cell>
          <cell r="BB98">
            <v>89</v>
          </cell>
          <cell r="CB98">
            <v>155</v>
          </cell>
        </row>
        <row r="99">
          <cell r="AC99">
            <v>121</v>
          </cell>
          <cell r="BB99">
            <v>121</v>
          </cell>
          <cell r="CB99">
            <v>205</v>
          </cell>
        </row>
        <row r="100">
          <cell r="BB100">
            <v>177</v>
          </cell>
        </row>
        <row r="101">
          <cell r="BB101">
            <v>232</v>
          </cell>
        </row>
        <row r="182">
          <cell r="AJ182" t="str">
            <v>1/8" 3000# THREADED COUPLING</v>
          </cell>
          <cell r="AK182" t="str">
            <v>SA105 B16.5</v>
          </cell>
          <cell r="BI182" t="str">
            <v>1/8" 3000# THREADED COUPLING</v>
          </cell>
          <cell r="BJ182" t="str">
            <v>SA182-304/304L B16.5</v>
          </cell>
          <cell r="CI182" t="str">
            <v>1/8" 3000# THREADED COUPLING</v>
          </cell>
          <cell r="CJ182" t="str">
            <v>SA182-316/316L B16.5</v>
          </cell>
        </row>
        <row r="183">
          <cell r="AJ183" t="str">
            <v>1/4" 3000# THREADED COUPLING</v>
          </cell>
          <cell r="AK183" t="str">
            <v>SA105 B16.5</v>
          </cell>
          <cell r="BI183" t="str">
            <v>1/4" 3000# THREADED COUPLING</v>
          </cell>
          <cell r="BJ183" t="str">
            <v>SA182-304/304L B16.5</v>
          </cell>
          <cell r="CI183" t="str">
            <v>1/4" 3000# THREADED COUPLING</v>
          </cell>
          <cell r="CJ183" t="str">
            <v>SA182-316/316L B16.5</v>
          </cell>
        </row>
        <row r="184">
          <cell r="AJ184" t="str">
            <v>3/8" 3000# THREADED COUPLING</v>
          </cell>
          <cell r="AK184" t="str">
            <v>SA105 B16.5</v>
          </cell>
          <cell r="BI184" t="str">
            <v>3/8" 3000# THREADED COUPLING</v>
          </cell>
          <cell r="BJ184" t="str">
            <v>SA182-304/304L B16.5</v>
          </cell>
          <cell r="CI184" t="str">
            <v>3/8" 3000# THREADED COUPLING</v>
          </cell>
          <cell r="CJ184" t="str">
            <v>SA182-316/316L B16.5</v>
          </cell>
        </row>
        <row r="185">
          <cell r="AJ185" t="str">
            <v>1/2" 3000# THREADED COUPLING</v>
          </cell>
          <cell r="AK185" t="str">
            <v>SA105 B16.5</v>
          </cell>
          <cell r="BI185" t="str">
            <v>1/2" 3000# THREADED COUPLING</v>
          </cell>
          <cell r="BJ185" t="str">
            <v>SA182-304/304L B16.5</v>
          </cell>
          <cell r="CI185" t="str">
            <v>1/2" 3000# THREADED COUPLING</v>
          </cell>
          <cell r="CJ185" t="str">
            <v>SA182-316/316L B16.5</v>
          </cell>
        </row>
        <row r="186">
          <cell r="AA186" t="str">
            <v>4 SCH40 90° ELBOW</v>
          </cell>
          <cell r="AB186" t="str">
            <v>SA234WPW B16.9</v>
          </cell>
          <cell r="AJ186" t="str">
            <v>3/4" 3000# THREADED COUPLING</v>
          </cell>
          <cell r="AK186" t="str">
            <v>SA105 B16.5</v>
          </cell>
          <cell r="AZ186" t="str">
            <v>4 SCH40 90° ELBOW</v>
          </cell>
          <cell r="BA186" t="str">
            <v>SA403-304/304L B16.9</v>
          </cell>
          <cell r="BB186">
            <v>38</v>
          </cell>
          <cell r="BI186" t="str">
            <v>3/4" 3000# THREADED COUPLING</v>
          </cell>
          <cell r="BJ186" t="str">
            <v>SA182-304/304L B16.5</v>
          </cell>
          <cell r="BZ186" t="str">
            <v>4 SCH40 90° ELBOW</v>
          </cell>
          <cell r="CA186" t="str">
            <v>SA403-316/316L B16.9</v>
          </cell>
          <cell r="CB186">
            <v>555</v>
          </cell>
          <cell r="CI186" t="str">
            <v>3/4" 3000# THREADED COUPLING</v>
          </cell>
          <cell r="CJ186" t="str">
            <v>SA182-316/316L B16.5</v>
          </cell>
        </row>
        <row r="187">
          <cell r="AA187" t="str">
            <v>5" SCH 40 LR 90 ELBOW</v>
          </cell>
          <cell r="AB187" t="str">
            <v>SA234WPW B16.9</v>
          </cell>
          <cell r="AJ187" t="str">
            <v>1" 3000# THREADED COUPLING</v>
          </cell>
          <cell r="AK187" t="str">
            <v>SA105 B16.5</v>
          </cell>
          <cell r="AZ187" t="str">
            <v>5" SCH 40 LR 90 ELBOW</v>
          </cell>
          <cell r="BA187" t="str">
            <v>SA403-304/304L B16.9</v>
          </cell>
          <cell r="BI187" t="str">
            <v>1" 3000# THREADED COUPLING</v>
          </cell>
          <cell r="BJ187" t="str">
            <v>SA182-304/304L B16.5</v>
          </cell>
          <cell r="BZ187" t="str">
            <v>5" SCH 40 LR 90 ELBOW</v>
          </cell>
          <cell r="CA187" t="str">
            <v>SA403-316/316L B16.9</v>
          </cell>
          <cell r="CI187" t="str">
            <v>1" 3000# THREADED COUPLING</v>
          </cell>
          <cell r="CJ187" t="str">
            <v>SA182-316/316L B16.5</v>
          </cell>
        </row>
        <row r="188">
          <cell r="AA188" t="str">
            <v>6 SCH40 90° ELBOW</v>
          </cell>
          <cell r="AB188" t="str">
            <v>SA234WPW B16.9</v>
          </cell>
          <cell r="AC188">
            <v>222</v>
          </cell>
          <cell r="AJ188" t="str">
            <v>1 1/4" 3000# THREADED COUPLING</v>
          </cell>
          <cell r="AK188" t="str">
            <v>SA105 B16.5</v>
          </cell>
          <cell r="AZ188" t="str">
            <v>6 SCH40 90° ELBOW</v>
          </cell>
          <cell r="BA188" t="str">
            <v>SA403-304/304L B16.9</v>
          </cell>
          <cell r="BB188">
            <v>107</v>
          </cell>
          <cell r="BI188" t="str">
            <v>1.5" 3000# THREADED COUPLING</v>
          </cell>
          <cell r="BJ188" t="str">
            <v>SA182-304/304L B16.5</v>
          </cell>
          <cell r="BZ188" t="str">
            <v>6 SCH40 90° ELBOW</v>
          </cell>
          <cell r="CA188" t="str">
            <v>SA403-316/316L B16.9</v>
          </cell>
          <cell r="CB188">
            <v>64</v>
          </cell>
          <cell r="CI188" t="str">
            <v>1 1/2" 3000# THREADED COUPLING</v>
          </cell>
          <cell r="CJ188" t="str">
            <v>SA182-316/316L B16.5</v>
          </cell>
        </row>
        <row r="189">
          <cell r="AA189" t="str">
            <v>8 SCH40 90° ELBOW</v>
          </cell>
          <cell r="AB189" t="str">
            <v>SA234WPW B16.9</v>
          </cell>
          <cell r="AC189">
            <v>444</v>
          </cell>
          <cell r="AJ189" t="str">
            <v>1 1/2" 3000# THREADED COUPLING</v>
          </cell>
          <cell r="AK189" t="str">
            <v>SA105 B16.5</v>
          </cell>
          <cell r="AZ189" t="str">
            <v>8 SCH40 90° ELBOW</v>
          </cell>
          <cell r="BA189" t="str">
            <v>SA403-304/304L B16.9</v>
          </cell>
          <cell r="BB189">
            <v>179</v>
          </cell>
          <cell r="BI189" t="str">
            <v>2" 3000# THREADED COUPLING</v>
          </cell>
          <cell r="BJ189" t="str">
            <v>SA182-304/304L B16.5</v>
          </cell>
          <cell r="BZ189" t="str">
            <v>8 SCH40 90° ELBOW</v>
          </cell>
          <cell r="CA189" t="str">
            <v>SA403-316/316L B16.9</v>
          </cell>
          <cell r="CB189">
            <v>564</v>
          </cell>
          <cell r="CI189" t="str">
            <v>2" 3000# THREADED COUPLING</v>
          </cell>
          <cell r="CJ189" t="str">
            <v>SA182-316/316L B16.5</v>
          </cell>
        </row>
        <row r="190">
          <cell r="AA190" t="str">
            <v>10 SCH40 90° ELBOW</v>
          </cell>
          <cell r="AB190" t="str">
            <v>SA234WPW B16.9</v>
          </cell>
          <cell r="AJ190" t="str">
            <v>2" 3000# THREADED COUPLING</v>
          </cell>
          <cell r="AK190" t="str">
            <v>SA105 B16.5</v>
          </cell>
          <cell r="AZ190" t="str">
            <v>10 SCH40 90° ELBOW</v>
          </cell>
          <cell r="BA190" t="str">
            <v>SA403-304/304L B16.9</v>
          </cell>
          <cell r="BB190">
            <v>373</v>
          </cell>
          <cell r="BI190" t="str">
            <v>3" 3000# THREADED COUPLING</v>
          </cell>
          <cell r="BJ190" t="str">
            <v>SA182-304/304L B16.5</v>
          </cell>
          <cell r="BZ190" t="str">
            <v>10 SCH40 90° ELBOW</v>
          </cell>
          <cell r="CA190" t="str">
            <v>SA403-316/316L B16.9</v>
          </cell>
          <cell r="CI190" t="str">
            <v>2 1/2" 3000# THREADED COUPLING</v>
          </cell>
          <cell r="CJ190" t="str">
            <v>SA182-316/316L B16.5</v>
          </cell>
        </row>
        <row r="191">
          <cell r="AA191" t="str">
            <v>12 SCH40 90° ELBOW</v>
          </cell>
          <cell r="AB191" t="str">
            <v>SA234WPW B16.9</v>
          </cell>
          <cell r="AJ191" t="str">
            <v>2 1/2" 3000# THREADED COUPLING</v>
          </cell>
          <cell r="AK191" t="str">
            <v>SA105 B16.5</v>
          </cell>
          <cell r="AZ191" t="str">
            <v>12 SCH40 90° ELBOW</v>
          </cell>
          <cell r="BA191" t="str">
            <v>SA403-304/304L B16.9</v>
          </cell>
          <cell r="BI191" t="str">
            <v>4" 3000# THREADED COUPLING</v>
          </cell>
          <cell r="BJ191" t="str">
            <v>SA182-304/304L B16.5</v>
          </cell>
          <cell r="BZ191" t="str">
            <v>12 SCH40 90° ELBOW</v>
          </cell>
          <cell r="CA191" t="str">
            <v>SA403-316/316L B16.9</v>
          </cell>
          <cell r="CI191" t="str">
            <v>3" 3000# THREADED COUPLING</v>
          </cell>
          <cell r="CJ191" t="str">
            <v>SA182-316/316L B16.5</v>
          </cell>
        </row>
        <row r="206">
          <cell r="BB206">
            <v>855</v>
          </cell>
          <cell r="CB206">
            <v>1090</v>
          </cell>
        </row>
        <row r="207">
          <cell r="AC207">
            <v>400</v>
          </cell>
          <cell r="BB207">
            <v>900</v>
          </cell>
          <cell r="CB207">
            <v>1155</v>
          </cell>
        </row>
        <row r="208">
          <cell r="AC208">
            <v>450</v>
          </cell>
        </row>
        <row r="212">
          <cell r="BB212">
            <v>1000</v>
          </cell>
        </row>
        <row r="213">
          <cell r="BB213">
            <v>1050</v>
          </cell>
        </row>
      </sheetData>
      <sheetData sheetId="1">
        <row r="4">
          <cell r="G4">
            <v>0.1875</v>
          </cell>
          <cell r="H4" t="str">
            <v>SA240-304/304L</v>
          </cell>
          <cell r="I4">
            <v>1.59</v>
          </cell>
          <cell r="M4">
            <v>0.1875</v>
          </cell>
          <cell r="N4" t="str">
            <v>SA240-316/316L</v>
          </cell>
          <cell r="O4">
            <v>2.39</v>
          </cell>
        </row>
        <row r="5">
          <cell r="G5">
            <v>0.25</v>
          </cell>
          <cell r="H5" t="str">
            <v>SA240-304/304L</v>
          </cell>
          <cell r="I5">
            <v>1.59</v>
          </cell>
          <cell r="M5">
            <v>0.25</v>
          </cell>
          <cell r="N5" t="str">
            <v>SA240-316/316L</v>
          </cell>
          <cell r="O5">
            <v>2.37</v>
          </cell>
        </row>
        <row r="6">
          <cell r="G6">
            <v>0.3125</v>
          </cell>
          <cell r="H6" t="str">
            <v>SA240-304/304L</v>
          </cell>
          <cell r="I6">
            <v>1.69</v>
          </cell>
          <cell r="M6">
            <v>0.3125</v>
          </cell>
          <cell r="N6" t="str">
            <v>SA240-316/316L</v>
          </cell>
          <cell r="O6">
            <v>2.48</v>
          </cell>
        </row>
        <row r="7">
          <cell r="G7">
            <v>0.375</v>
          </cell>
          <cell r="H7" t="str">
            <v>SA240-304/304L</v>
          </cell>
          <cell r="I7">
            <v>1.74</v>
          </cell>
          <cell r="M7">
            <v>0.375</v>
          </cell>
          <cell r="N7" t="str">
            <v>SA240-316/316L</v>
          </cell>
          <cell r="O7">
            <v>2.48</v>
          </cell>
        </row>
        <row r="8">
          <cell r="G8">
            <v>0.5</v>
          </cell>
          <cell r="H8" t="str">
            <v>SA240-304/304L</v>
          </cell>
          <cell r="I8">
            <v>1.99</v>
          </cell>
          <cell r="M8">
            <v>0.5</v>
          </cell>
          <cell r="N8" t="str">
            <v>SA240-316/316L</v>
          </cell>
          <cell r="O8">
            <v>2.71</v>
          </cell>
        </row>
        <row r="9">
          <cell r="G9">
            <v>0.625</v>
          </cell>
          <cell r="H9" t="str">
            <v>SA240-304/304L</v>
          </cell>
          <cell r="I9">
            <v>2.09</v>
          </cell>
          <cell r="M9">
            <v>0.625</v>
          </cell>
          <cell r="N9" t="str">
            <v>SA240-316/316L</v>
          </cell>
          <cell r="O9">
            <v>2.99</v>
          </cell>
        </row>
        <row r="10">
          <cell r="G10">
            <v>0.75</v>
          </cell>
          <cell r="H10" t="str">
            <v>SA240-304/304L</v>
          </cell>
          <cell r="I10">
            <v>2.09</v>
          </cell>
          <cell r="M10">
            <v>0.75</v>
          </cell>
          <cell r="N10" t="str">
            <v>SA240-316/316L</v>
          </cell>
        </row>
        <row r="11">
          <cell r="G11">
            <v>1</v>
          </cell>
          <cell r="H11" t="str">
            <v>SA240-304/304L</v>
          </cell>
          <cell r="I11">
            <v>2.09</v>
          </cell>
          <cell r="M11">
            <v>1</v>
          </cell>
          <cell r="N11" t="str">
            <v>SA240-316/316L</v>
          </cell>
          <cell r="O11">
            <v>2.85</v>
          </cell>
        </row>
        <row r="21">
          <cell r="G21" t="str">
            <v>3/16" X 2" X 2"</v>
          </cell>
          <cell r="H21" t="str">
            <v>304L ANGLE</v>
          </cell>
          <cell r="I21">
            <v>195</v>
          </cell>
        </row>
        <row r="22">
          <cell r="G22" t="str">
            <v>3/16" X 3" X 3"</v>
          </cell>
          <cell r="H22" t="str">
            <v>304L ANGLE</v>
          </cell>
          <cell r="I22">
            <v>205</v>
          </cell>
        </row>
        <row r="23">
          <cell r="G23" t="str">
            <v>1/4" X 2" X 2"</v>
          </cell>
          <cell r="H23" t="str">
            <v>304L ANGLE</v>
          </cell>
          <cell r="I23">
            <v>210</v>
          </cell>
        </row>
        <row r="24">
          <cell r="G24" t="str">
            <v>1/4" X 3" X 3"</v>
          </cell>
          <cell r="H24" t="str">
            <v>304L ANGLE</v>
          </cell>
          <cell r="I24">
            <v>384</v>
          </cell>
        </row>
        <row r="25">
          <cell r="G25" t="str">
            <v>3/8" X 2" X 2"</v>
          </cell>
          <cell r="H25" t="str">
            <v>304L ANGLE</v>
          </cell>
          <cell r="I25">
            <v>325</v>
          </cell>
        </row>
        <row r="26">
          <cell r="G26" t="str">
            <v>3/8" X 3" X 3"</v>
          </cell>
          <cell r="H26" t="str">
            <v>304L ANGLE</v>
          </cell>
          <cell r="I26">
            <v>350</v>
          </cell>
        </row>
        <row r="27">
          <cell r="G27" t="str">
            <v>3/8" X 6" X 6" X 20'</v>
          </cell>
          <cell r="H27" t="str">
            <v>304L ANGLE</v>
          </cell>
        </row>
        <row r="31">
          <cell r="A31">
            <v>0.1875</v>
          </cell>
          <cell r="B31" t="str">
            <v>SA36</v>
          </cell>
          <cell r="C31">
            <v>0.74</v>
          </cell>
        </row>
        <row r="32">
          <cell r="A32">
            <v>0.25</v>
          </cell>
          <cell r="B32" t="str">
            <v>SA36</v>
          </cell>
          <cell r="C32">
            <v>0.82</v>
          </cell>
        </row>
        <row r="33">
          <cell r="A33">
            <v>0.3125</v>
          </cell>
          <cell r="B33" t="str">
            <v>SA36</v>
          </cell>
          <cell r="C33">
            <v>0.83</v>
          </cell>
        </row>
        <row r="34">
          <cell r="A34">
            <v>0.375</v>
          </cell>
          <cell r="B34" t="str">
            <v>SA36</v>
          </cell>
          <cell r="C34">
            <v>0.92</v>
          </cell>
        </row>
        <row r="35">
          <cell r="A35">
            <v>0.5</v>
          </cell>
          <cell r="B35" t="str">
            <v>SA36</v>
          </cell>
          <cell r="C35">
            <v>0.99</v>
          </cell>
        </row>
        <row r="36">
          <cell r="A36">
            <v>0.625</v>
          </cell>
          <cell r="B36" t="str">
            <v>SA36</v>
          </cell>
          <cell r="C36">
            <v>0.97</v>
          </cell>
        </row>
        <row r="37">
          <cell r="A37">
            <v>0.75</v>
          </cell>
          <cell r="B37" t="str">
            <v>SA36</v>
          </cell>
          <cell r="C37">
            <v>0.97</v>
          </cell>
        </row>
        <row r="38">
          <cell r="A38">
            <v>0.875</v>
          </cell>
          <cell r="B38" t="str">
            <v>SA36</v>
          </cell>
          <cell r="C38">
            <v>0.97</v>
          </cell>
        </row>
        <row r="39">
          <cell r="A39">
            <v>1</v>
          </cell>
          <cell r="B39" t="str">
            <v>SA36</v>
          </cell>
        </row>
        <row r="54">
          <cell r="A54" t="str">
            <v>3/16" X 2" X 2"</v>
          </cell>
          <cell r="B54" t="str">
            <v>SA36 ANGLE</v>
          </cell>
          <cell r="C54">
            <v>80</v>
          </cell>
        </row>
        <row r="55">
          <cell r="A55" t="str">
            <v>3/16" X 3" X 3"</v>
          </cell>
          <cell r="B55" t="str">
            <v>SA36 ANGLE</v>
          </cell>
          <cell r="C55">
            <v>85</v>
          </cell>
        </row>
        <row r="56">
          <cell r="A56" t="str">
            <v>1/4" X 2" X 2"</v>
          </cell>
          <cell r="B56" t="str">
            <v>SA36 ANGLE</v>
          </cell>
          <cell r="C56">
            <v>90</v>
          </cell>
        </row>
        <row r="57">
          <cell r="A57" t="str">
            <v>1/4" X 3" X 3"</v>
          </cell>
          <cell r="B57" t="str">
            <v>SA36 ANGLE</v>
          </cell>
          <cell r="C57">
            <v>95</v>
          </cell>
        </row>
        <row r="58">
          <cell r="A58" t="str">
            <v>3/8" X 2" X 2"</v>
          </cell>
          <cell r="B58" t="str">
            <v>SA36 ANGLE</v>
          </cell>
          <cell r="C58">
            <v>100</v>
          </cell>
        </row>
        <row r="59">
          <cell r="A59" t="str">
            <v>3/8" X 3" X 3"</v>
          </cell>
          <cell r="B59" t="str">
            <v>SA36 ANGLE</v>
          </cell>
          <cell r="C59">
            <v>105</v>
          </cell>
        </row>
        <row r="60">
          <cell r="A60" t="str">
            <v>3/8" X 4" X 4" x 20'</v>
          </cell>
          <cell r="B60" t="str">
            <v>SA36 ANGLE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6B35-27A5-41D5-A050-4864215FF814}">
  <sheetPr codeName="Sheet1"/>
  <dimension ref="A1:W33"/>
  <sheetViews>
    <sheetView topLeftCell="D1" zoomScaleNormal="100" workbookViewId="0">
      <selection activeCell="S10" sqref="S10"/>
    </sheetView>
  </sheetViews>
  <sheetFormatPr defaultRowHeight="14.25" x14ac:dyDescent="0.45"/>
  <cols>
    <col min="2" max="2" width="11.265625" bestFit="1" customWidth="1"/>
    <col min="6" max="6" width="11.86328125" bestFit="1" customWidth="1"/>
    <col min="8" max="8" width="15.1328125" bestFit="1" customWidth="1"/>
    <col min="17" max="17" width="11.86328125" bestFit="1" customWidth="1"/>
    <col min="19" max="19" width="12" bestFit="1" customWidth="1"/>
  </cols>
  <sheetData>
    <row r="1" spans="1:23" ht="15" customHeight="1" x14ac:dyDescent="0.9">
      <c r="A1" s="114" t="s">
        <v>0</v>
      </c>
      <c r="B1" s="115"/>
      <c r="C1" s="115"/>
      <c r="D1" s="115"/>
      <c r="E1" s="115"/>
      <c r="F1" s="115"/>
      <c r="G1" s="115"/>
      <c r="H1" s="115"/>
      <c r="I1" s="116"/>
      <c r="J1" s="92"/>
      <c r="K1" s="114" t="s">
        <v>210</v>
      </c>
      <c r="L1" s="115"/>
      <c r="M1" s="115"/>
      <c r="N1" s="115"/>
      <c r="O1" s="116"/>
      <c r="P1" s="112" t="s">
        <v>227</v>
      </c>
      <c r="Q1" s="112"/>
      <c r="R1" s="112"/>
      <c r="S1" s="114" t="s">
        <v>399</v>
      </c>
      <c r="T1" s="115"/>
      <c r="U1" s="116"/>
    </row>
    <row r="2" spans="1:23" ht="15" customHeight="1" x14ac:dyDescent="0.9">
      <c r="A2" s="117"/>
      <c r="B2" s="118"/>
      <c r="C2" s="118"/>
      <c r="D2" s="118"/>
      <c r="E2" s="118"/>
      <c r="F2" s="118"/>
      <c r="G2" s="118"/>
      <c r="H2" s="118"/>
      <c r="I2" s="119"/>
      <c r="J2" s="92"/>
      <c r="K2" s="117"/>
      <c r="L2" s="118"/>
      <c r="M2" s="118"/>
      <c r="N2" s="118"/>
      <c r="O2" s="119"/>
      <c r="P2" s="122"/>
      <c r="Q2" s="122"/>
      <c r="R2" s="122"/>
      <c r="S2" s="117"/>
      <c r="T2" s="118"/>
      <c r="U2" s="119"/>
    </row>
    <row r="3" spans="1:23" ht="16.149999999999999" thickBot="1" x14ac:dyDescent="0.55000000000000004">
      <c r="A3" s="33"/>
      <c r="B3" s="32"/>
      <c r="C3" s="32"/>
      <c r="D3" s="32"/>
      <c r="E3" s="32"/>
      <c r="F3" s="32"/>
      <c r="G3" s="32"/>
      <c r="H3" s="32"/>
      <c r="I3" s="25"/>
      <c r="K3" s="33" t="s">
        <v>211</v>
      </c>
      <c r="L3" s="32" t="s">
        <v>222</v>
      </c>
      <c r="M3" s="41"/>
      <c r="N3" s="32" t="s">
        <v>223</v>
      </c>
      <c r="O3" s="104"/>
      <c r="P3" t="s">
        <v>10</v>
      </c>
      <c r="Q3" s="123"/>
      <c r="R3" s="123"/>
      <c r="S3" s="33" t="s">
        <v>398</v>
      </c>
      <c r="T3" s="120"/>
      <c r="U3" s="121"/>
    </row>
    <row r="4" spans="1:23" x14ac:dyDescent="0.45">
      <c r="A4" s="124" t="s">
        <v>409</v>
      </c>
      <c r="B4" s="125"/>
      <c r="C4" s="127"/>
      <c r="D4" s="128"/>
      <c r="E4" s="129"/>
      <c r="F4" s="32" t="s">
        <v>203</v>
      </c>
      <c r="G4" s="127"/>
      <c r="H4" s="128"/>
      <c r="I4" s="146"/>
      <c r="J4" s="37"/>
      <c r="K4" s="33" t="s">
        <v>212</v>
      </c>
      <c r="L4" s="144"/>
      <c r="M4" s="144"/>
      <c r="N4" s="144"/>
      <c r="O4" s="145"/>
      <c r="P4" s="136" t="s">
        <v>47</v>
      </c>
      <c r="Q4" s="137"/>
      <c r="R4" s="138"/>
      <c r="S4" s="33" t="s">
        <v>400</v>
      </c>
      <c r="T4" s="120"/>
      <c r="U4" s="121"/>
    </row>
    <row r="5" spans="1:23" x14ac:dyDescent="0.45">
      <c r="A5" s="124" t="s">
        <v>410</v>
      </c>
      <c r="B5" s="125"/>
      <c r="C5" s="120"/>
      <c r="D5" s="120"/>
      <c r="E5" s="120"/>
      <c r="F5" s="120"/>
      <c r="G5" s="120"/>
      <c r="H5" s="120"/>
      <c r="I5" s="121"/>
      <c r="J5" s="37"/>
      <c r="K5" s="33" t="s">
        <v>213</v>
      </c>
      <c r="L5" s="32" t="s">
        <v>214</v>
      </c>
      <c r="M5" s="51"/>
      <c r="N5" s="32" t="s">
        <v>210</v>
      </c>
      <c r="O5" s="104"/>
      <c r="P5" s="139"/>
      <c r="Q5" s="140"/>
      <c r="R5" s="141"/>
      <c r="S5" s="33" t="s">
        <v>402</v>
      </c>
      <c r="T5" s="120"/>
      <c r="U5" s="121"/>
    </row>
    <row r="6" spans="1:23" ht="14.65" thickBot="1" x14ac:dyDescent="0.5">
      <c r="A6" s="124" t="s">
        <v>411</v>
      </c>
      <c r="B6" s="125"/>
      <c r="C6" s="125" t="s">
        <v>3</v>
      </c>
      <c r="D6" s="125"/>
      <c r="E6" s="125"/>
      <c r="F6" s="125"/>
      <c r="G6" s="125"/>
      <c r="H6" s="125"/>
      <c r="I6" s="126"/>
      <c r="J6" s="37"/>
      <c r="K6" s="33" t="s">
        <v>215</v>
      </c>
      <c r="L6" s="32" t="s">
        <v>214</v>
      </c>
      <c r="M6" s="51"/>
      <c r="N6" s="32" t="s">
        <v>210</v>
      </c>
      <c r="O6" s="104"/>
      <c r="P6" s="99" t="s">
        <v>336</v>
      </c>
      <c r="Q6" s="120"/>
      <c r="R6" s="127"/>
      <c r="S6" s="59" t="s">
        <v>407</v>
      </c>
      <c r="T6" s="108"/>
      <c r="U6" s="109"/>
    </row>
    <row r="7" spans="1:23" s="49" customFormat="1" ht="15.75" customHeight="1" thickBot="1" x14ac:dyDescent="0.5">
      <c r="A7" s="153" t="s">
        <v>413</v>
      </c>
      <c r="B7" s="154"/>
      <c r="C7" s="48" t="s">
        <v>5</v>
      </c>
      <c r="D7" s="147"/>
      <c r="E7" s="147"/>
      <c r="F7" s="48" t="s">
        <v>414</v>
      </c>
      <c r="G7" s="147"/>
      <c r="H7" s="147"/>
      <c r="I7" s="148"/>
      <c r="J7" s="94"/>
      <c r="K7" s="105" t="s">
        <v>216</v>
      </c>
      <c r="L7" s="48" t="s">
        <v>214</v>
      </c>
      <c r="M7" s="103"/>
      <c r="N7" s="48" t="s">
        <v>210</v>
      </c>
      <c r="O7" s="106"/>
      <c r="P7" s="100" t="s">
        <v>10</v>
      </c>
      <c r="Q7" s="142"/>
      <c r="R7" s="143"/>
      <c r="W7" s="50"/>
    </row>
    <row r="8" spans="1:23" x14ac:dyDescent="0.45">
      <c r="A8" s="124" t="s">
        <v>412</v>
      </c>
      <c r="B8" s="125"/>
      <c r="C8" s="32" t="s">
        <v>5</v>
      </c>
      <c r="D8" s="120"/>
      <c r="E8" s="120"/>
      <c r="F8" s="120"/>
      <c r="G8" s="120"/>
      <c r="H8" s="120"/>
      <c r="I8" s="121"/>
      <c r="J8" s="37"/>
      <c r="K8" s="33" t="s">
        <v>217</v>
      </c>
      <c r="L8" s="32" t="s">
        <v>214</v>
      </c>
      <c r="M8" s="51"/>
      <c r="N8" s="32" t="s">
        <v>210</v>
      </c>
      <c r="O8" s="104"/>
      <c r="P8" s="130" t="s">
        <v>48</v>
      </c>
      <c r="Q8" s="131"/>
      <c r="R8" s="132"/>
    </row>
    <row r="9" spans="1:23" x14ac:dyDescent="0.45">
      <c r="A9" s="149" t="s">
        <v>49</v>
      </c>
      <c r="B9" s="150"/>
      <c r="C9" s="32" t="s">
        <v>50</v>
      </c>
      <c r="D9" s="63"/>
      <c r="E9" s="32" t="s">
        <v>53</v>
      </c>
      <c r="F9" s="32" t="s">
        <v>54</v>
      </c>
      <c r="G9" s="63"/>
      <c r="H9" s="32" t="s">
        <v>55</v>
      </c>
      <c r="I9" s="64"/>
      <c r="K9" s="33" t="s">
        <v>218</v>
      </c>
      <c r="L9" s="32" t="s">
        <v>214</v>
      </c>
      <c r="M9" s="51"/>
      <c r="N9" s="32" t="s">
        <v>210</v>
      </c>
      <c r="O9" s="104"/>
      <c r="P9" s="133"/>
      <c r="Q9" s="134"/>
      <c r="R9" s="135"/>
    </row>
    <row r="10" spans="1:23" x14ac:dyDescent="0.45">
      <c r="A10" s="151"/>
      <c r="B10" s="152"/>
      <c r="C10" s="155" t="s">
        <v>202</v>
      </c>
      <c r="D10" s="156"/>
      <c r="E10" s="157"/>
      <c r="F10" s="158"/>
      <c r="G10" s="159"/>
      <c r="H10" s="159"/>
      <c r="I10" s="160"/>
      <c r="J10" s="37"/>
      <c r="K10" s="33" t="s">
        <v>219</v>
      </c>
      <c r="L10" s="32" t="s">
        <v>214</v>
      </c>
      <c r="M10" s="51"/>
      <c r="N10" s="32" t="s">
        <v>210</v>
      </c>
      <c r="O10" s="104"/>
      <c r="P10" s="99" t="s">
        <v>417</v>
      </c>
      <c r="Q10" s="120"/>
      <c r="R10" s="121"/>
    </row>
    <row r="11" spans="1:23" x14ac:dyDescent="0.45">
      <c r="A11" s="124" t="s">
        <v>62</v>
      </c>
      <c r="B11" s="125"/>
      <c r="C11" s="167" t="s">
        <v>64</v>
      </c>
      <c r="D11" s="167"/>
      <c r="E11" s="167"/>
      <c r="F11" s="167"/>
      <c r="G11" s="167"/>
      <c r="H11" s="167"/>
      <c r="I11" s="25"/>
      <c r="K11" s="33" t="s">
        <v>220</v>
      </c>
      <c r="L11" s="32" t="s">
        <v>214</v>
      </c>
      <c r="M11" s="51"/>
      <c r="N11" s="32" t="s">
        <v>210</v>
      </c>
      <c r="O11" s="104"/>
      <c r="P11" s="99" t="s">
        <v>416</v>
      </c>
      <c r="Q11" s="32"/>
      <c r="R11" s="57"/>
    </row>
    <row r="12" spans="1:23" ht="14.65" thickBot="1" x14ac:dyDescent="0.5">
      <c r="A12" s="165" t="s">
        <v>63</v>
      </c>
      <c r="B12" s="166"/>
      <c r="C12" s="168" t="s">
        <v>66</v>
      </c>
      <c r="D12" s="168"/>
      <c r="E12" s="168"/>
      <c r="F12" s="34" t="s">
        <v>65</v>
      </c>
      <c r="G12" s="168" t="s">
        <v>67</v>
      </c>
      <c r="H12" s="168"/>
      <c r="I12" s="169"/>
      <c r="J12" s="37"/>
      <c r="K12" s="59" t="s">
        <v>221</v>
      </c>
      <c r="L12" s="34" t="s">
        <v>214</v>
      </c>
      <c r="M12" s="56"/>
      <c r="N12" s="34" t="s">
        <v>210</v>
      </c>
      <c r="O12" s="107"/>
      <c r="P12" s="101" t="s">
        <v>415</v>
      </c>
      <c r="Q12" s="34"/>
      <c r="R12" s="58"/>
    </row>
    <row r="13" spans="1:23" ht="14.65" thickBot="1" x14ac:dyDescent="0.5">
      <c r="A13" s="98"/>
      <c r="B13" s="37"/>
      <c r="C13" s="37"/>
      <c r="D13" s="37"/>
      <c r="E13" s="37"/>
      <c r="G13" s="37"/>
      <c r="H13" s="37"/>
      <c r="I13" s="37"/>
      <c r="J13" s="37"/>
      <c r="K13" s="35"/>
      <c r="M13" s="102"/>
      <c r="N13" s="35"/>
      <c r="O13" s="36"/>
    </row>
    <row r="14" spans="1:23" ht="30.75" x14ac:dyDescent="0.9">
      <c r="A14" s="110" t="s">
        <v>68</v>
      </c>
      <c r="B14" s="111"/>
      <c r="C14" s="111"/>
      <c r="D14" s="111"/>
      <c r="E14" s="112"/>
      <c r="F14" s="112"/>
      <c r="G14" s="112"/>
      <c r="H14" s="113"/>
      <c r="I14" s="96"/>
      <c r="J14" s="92"/>
      <c r="K14" s="114" t="s">
        <v>74</v>
      </c>
      <c r="L14" s="115"/>
      <c r="M14" s="116"/>
      <c r="N14" s="114" t="s">
        <v>89</v>
      </c>
      <c r="O14" s="115"/>
      <c r="P14" s="116"/>
    </row>
    <row r="15" spans="1:23" ht="13.5" customHeight="1" x14ac:dyDescent="0.9">
      <c r="A15" s="161" t="s">
        <v>376</v>
      </c>
      <c r="B15" s="162"/>
      <c r="C15" s="163" t="s">
        <v>70</v>
      </c>
      <c r="D15" s="164"/>
      <c r="E15" s="92"/>
      <c r="F15" s="92"/>
      <c r="G15" s="92"/>
      <c r="H15" s="91"/>
      <c r="I15" s="92"/>
      <c r="J15" s="92"/>
      <c r="K15" s="88"/>
      <c r="L15" s="89"/>
      <c r="M15" s="90"/>
      <c r="N15" s="65"/>
      <c r="O15" s="66"/>
      <c r="P15" s="60"/>
    </row>
    <row r="16" spans="1:23" x14ac:dyDescent="0.45">
      <c r="A16" s="33" t="s">
        <v>12</v>
      </c>
      <c r="B16" s="32" t="s">
        <v>10</v>
      </c>
      <c r="C16" s="32" t="s">
        <v>58</v>
      </c>
      <c r="D16" s="32" t="s">
        <v>59</v>
      </c>
      <c r="E16" s="95" t="s">
        <v>99</v>
      </c>
      <c r="F16" s="95" t="s">
        <v>61</v>
      </c>
      <c r="G16" s="95" t="s">
        <v>69</v>
      </c>
      <c r="H16" s="97" t="s">
        <v>356</v>
      </c>
      <c r="J16" s="37"/>
      <c r="K16" s="33" t="s">
        <v>12</v>
      </c>
      <c r="L16" s="32" t="s">
        <v>10</v>
      </c>
      <c r="M16" s="25"/>
      <c r="N16" s="33" t="s">
        <v>12</v>
      </c>
      <c r="O16" s="32" t="s">
        <v>10</v>
      </c>
      <c r="P16" s="25" t="s">
        <v>59</v>
      </c>
    </row>
    <row r="17" spans="1:20" x14ac:dyDescent="0.45">
      <c r="A17" s="53"/>
      <c r="B17" s="52"/>
      <c r="C17" s="51" t="s">
        <v>72</v>
      </c>
      <c r="D17" s="32" t="str">
        <f>$C$15</f>
        <v>SCH40</v>
      </c>
      <c r="E17" s="51" t="s">
        <v>98</v>
      </c>
      <c r="F17" s="51" t="s">
        <v>52</v>
      </c>
      <c r="G17" s="51" t="s">
        <v>52</v>
      </c>
      <c r="H17" s="57">
        <v>1</v>
      </c>
      <c r="J17" s="37"/>
      <c r="K17" s="53"/>
      <c r="L17" s="32" t="s">
        <v>75</v>
      </c>
      <c r="M17" s="25"/>
      <c r="N17" s="53"/>
      <c r="O17" s="51"/>
      <c r="P17" s="57"/>
      <c r="T17" t="s">
        <v>100</v>
      </c>
    </row>
    <row r="18" spans="1:20" x14ac:dyDescent="0.45">
      <c r="A18" s="53"/>
      <c r="B18" s="52"/>
      <c r="C18" s="51" t="s">
        <v>72</v>
      </c>
      <c r="D18" s="32" t="str">
        <f t="shared" ref="D18:D33" si="0">$C$15</f>
        <v>SCH40</v>
      </c>
      <c r="E18" s="51" t="s">
        <v>98</v>
      </c>
      <c r="F18" s="51" t="s">
        <v>52</v>
      </c>
      <c r="G18" s="51" t="s">
        <v>52</v>
      </c>
      <c r="H18" s="57">
        <v>1</v>
      </c>
      <c r="J18" s="37"/>
      <c r="K18" s="53"/>
      <c r="L18" s="32" t="s">
        <v>76</v>
      </c>
      <c r="M18" s="25"/>
      <c r="N18" s="53"/>
      <c r="O18" s="51"/>
      <c r="P18" s="57"/>
    </row>
    <row r="19" spans="1:20" x14ac:dyDescent="0.45">
      <c r="A19" s="53"/>
      <c r="B19" s="52"/>
      <c r="C19" s="51" t="s">
        <v>72</v>
      </c>
      <c r="D19" s="32" t="str">
        <f t="shared" si="0"/>
        <v>SCH40</v>
      </c>
      <c r="E19" s="51" t="s">
        <v>98</v>
      </c>
      <c r="F19" s="51" t="s">
        <v>52</v>
      </c>
      <c r="G19" s="51" t="s">
        <v>52</v>
      </c>
      <c r="H19" s="57">
        <v>1</v>
      </c>
      <c r="J19" s="37"/>
      <c r="K19" s="53"/>
      <c r="L19" s="32" t="s">
        <v>78</v>
      </c>
      <c r="M19" s="25"/>
      <c r="N19" s="53"/>
      <c r="O19" s="51"/>
      <c r="P19" s="57"/>
    </row>
    <row r="20" spans="1:20" ht="14.65" thickBot="1" x14ac:dyDescent="0.5">
      <c r="A20" s="53"/>
      <c r="B20" s="52"/>
      <c r="C20" s="51" t="s">
        <v>72</v>
      </c>
      <c r="D20" s="32" t="str">
        <f t="shared" si="0"/>
        <v>SCH40</v>
      </c>
      <c r="E20" s="51" t="s">
        <v>98</v>
      </c>
      <c r="F20" s="51" t="s">
        <v>52</v>
      </c>
      <c r="G20" s="51" t="s">
        <v>52</v>
      </c>
      <c r="H20" s="57">
        <v>1</v>
      </c>
      <c r="J20" s="37"/>
      <c r="K20" s="53"/>
      <c r="L20" s="32" t="s">
        <v>79</v>
      </c>
      <c r="M20" s="25"/>
      <c r="N20" s="54"/>
      <c r="O20" s="56"/>
      <c r="P20" s="58"/>
    </row>
    <row r="21" spans="1:20" x14ac:dyDescent="0.45">
      <c r="A21" s="53"/>
      <c r="B21" s="52"/>
      <c r="C21" s="51" t="s">
        <v>72</v>
      </c>
      <c r="D21" s="32" t="str">
        <f t="shared" si="0"/>
        <v>SCH40</v>
      </c>
      <c r="E21" s="51" t="s">
        <v>98</v>
      </c>
      <c r="F21" s="51" t="s">
        <v>52</v>
      </c>
      <c r="G21" s="51" t="s">
        <v>52</v>
      </c>
      <c r="H21" s="57">
        <v>1</v>
      </c>
      <c r="J21" s="37"/>
      <c r="K21" s="53"/>
      <c r="L21" s="32" t="s">
        <v>77</v>
      </c>
      <c r="M21" s="25"/>
    </row>
    <row r="22" spans="1:20" x14ac:dyDescent="0.45">
      <c r="A22" s="53"/>
      <c r="B22" s="52"/>
      <c r="C22" s="51" t="s">
        <v>72</v>
      </c>
      <c r="D22" s="32" t="str">
        <f t="shared" si="0"/>
        <v>SCH40</v>
      </c>
      <c r="E22" s="51" t="s">
        <v>98</v>
      </c>
      <c r="F22" s="51" t="s">
        <v>52</v>
      </c>
      <c r="G22" s="51" t="s">
        <v>52</v>
      </c>
      <c r="H22" s="57">
        <v>1</v>
      </c>
      <c r="J22" s="37"/>
      <c r="K22" s="53"/>
      <c r="L22" s="32" t="s">
        <v>80</v>
      </c>
      <c r="M22" s="25"/>
    </row>
    <row r="23" spans="1:20" x14ac:dyDescent="0.45">
      <c r="A23" s="53"/>
      <c r="B23" s="52"/>
      <c r="C23" s="51" t="s">
        <v>72</v>
      </c>
      <c r="D23" s="32" t="str">
        <f t="shared" si="0"/>
        <v>SCH40</v>
      </c>
      <c r="E23" s="51" t="s">
        <v>98</v>
      </c>
      <c r="F23" s="51" t="s">
        <v>52</v>
      </c>
      <c r="G23" s="51" t="s">
        <v>52</v>
      </c>
      <c r="H23" s="57">
        <v>1</v>
      </c>
      <c r="J23" s="37"/>
      <c r="K23" s="53"/>
      <c r="L23" s="32" t="s">
        <v>81</v>
      </c>
      <c r="M23" s="25"/>
    </row>
    <row r="24" spans="1:20" x14ac:dyDescent="0.45">
      <c r="A24" s="53"/>
      <c r="B24" s="52"/>
      <c r="C24" s="51" t="s">
        <v>72</v>
      </c>
      <c r="D24" s="32" t="str">
        <f t="shared" si="0"/>
        <v>SCH40</v>
      </c>
      <c r="E24" s="51" t="s">
        <v>98</v>
      </c>
      <c r="F24" s="51" t="s">
        <v>52</v>
      </c>
      <c r="G24" s="51" t="s">
        <v>52</v>
      </c>
      <c r="H24" s="57">
        <v>1</v>
      </c>
      <c r="J24" s="37"/>
      <c r="K24" s="53"/>
      <c r="L24" s="32" t="s">
        <v>82</v>
      </c>
      <c r="M24" s="25"/>
    </row>
    <row r="25" spans="1:20" ht="14.65" thickBot="1" x14ac:dyDescent="0.5">
      <c r="A25" s="53"/>
      <c r="B25" s="52"/>
      <c r="C25" s="51" t="s">
        <v>72</v>
      </c>
      <c r="D25" s="32" t="str">
        <f t="shared" si="0"/>
        <v>SCH40</v>
      </c>
      <c r="E25" s="51" t="s">
        <v>98</v>
      </c>
      <c r="F25" s="51" t="s">
        <v>52</v>
      </c>
      <c r="G25" s="51" t="s">
        <v>52</v>
      </c>
      <c r="H25" s="57">
        <v>1</v>
      </c>
      <c r="J25" s="37"/>
      <c r="K25" s="53"/>
      <c r="L25" s="32" t="s">
        <v>83</v>
      </c>
      <c r="M25" s="25"/>
    </row>
    <row r="26" spans="1:20" ht="14.65" thickBot="1" x14ac:dyDescent="0.5">
      <c r="A26" s="53"/>
      <c r="B26" s="52"/>
      <c r="C26" s="51" t="s">
        <v>72</v>
      </c>
      <c r="D26" s="32" t="str">
        <f t="shared" si="0"/>
        <v>SCH40</v>
      </c>
      <c r="E26" s="51" t="s">
        <v>98</v>
      </c>
      <c r="F26" s="51" t="s">
        <v>52</v>
      </c>
      <c r="G26" s="51" t="s">
        <v>52</v>
      </c>
      <c r="H26" s="57">
        <v>1</v>
      </c>
      <c r="J26" s="37"/>
      <c r="K26" s="54"/>
      <c r="L26" s="34" t="s">
        <v>84</v>
      </c>
      <c r="M26" s="93"/>
      <c r="N26" s="114" t="s">
        <v>97</v>
      </c>
      <c r="O26" s="115"/>
      <c r="P26" s="115"/>
      <c r="Q26" s="116"/>
    </row>
    <row r="27" spans="1:20" ht="15" customHeight="1" x14ac:dyDescent="0.45">
      <c r="A27" s="53"/>
      <c r="B27" s="52"/>
      <c r="C27" s="51" t="s">
        <v>72</v>
      </c>
      <c r="D27" s="32" t="str">
        <f t="shared" si="0"/>
        <v>SCH40</v>
      </c>
      <c r="E27" s="51" t="s">
        <v>98</v>
      </c>
      <c r="F27" s="51" t="s">
        <v>52</v>
      </c>
      <c r="G27" s="51" t="s">
        <v>52</v>
      </c>
      <c r="H27" s="57">
        <v>1</v>
      </c>
      <c r="J27" s="37"/>
      <c r="K27" s="114" t="s">
        <v>60</v>
      </c>
      <c r="L27" s="115"/>
      <c r="M27" s="116"/>
      <c r="N27" s="117"/>
      <c r="O27" s="118"/>
      <c r="P27" s="118"/>
      <c r="Q27" s="119"/>
    </row>
    <row r="28" spans="1:20" ht="15" customHeight="1" x14ac:dyDescent="0.45">
      <c r="A28" s="53"/>
      <c r="B28" s="52"/>
      <c r="C28" s="51" t="s">
        <v>72</v>
      </c>
      <c r="D28" s="32" t="str">
        <f t="shared" si="0"/>
        <v>SCH40</v>
      </c>
      <c r="E28" s="51" t="s">
        <v>98</v>
      </c>
      <c r="F28" s="51" t="s">
        <v>52</v>
      </c>
      <c r="G28" s="51" t="s">
        <v>52</v>
      </c>
      <c r="H28" s="57">
        <v>1</v>
      </c>
      <c r="J28" s="37"/>
      <c r="K28" s="117"/>
      <c r="L28" s="118"/>
      <c r="M28" s="119"/>
      <c r="N28" s="33" t="s">
        <v>12</v>
      </c>
      <c r="O28" s="32" t="s">
        <v>10</v>
      </c>
      <c r="P28" s="32" t="s">
        <v>58</v>
      </c>
      <c r="Q28" s="25" t="s">
        <v>383</v>
      </c>
    </row>
    <row r="29" spans="1:20" x14ac:dyDescent="0.45">
      <c r="A29" s="53"/>
      <c r="B29" s="52"/>
      <c r="C29" s="51" t="s">
        <v>72</v>
      </c>
      <c r="D29" s="32" t="str">
        <f t="shared" si="0"/>
        <v>SCH40</v>
      </c>
      <c r="E29" s="51" t="s">
        <v>98</v>
      </c>
      <c r="F29" s="51" t="s">
        <v>52</v>
      </c>
      <c r="G29" s="51" t="s">
        <v>52</v>
      </c>
      <c r="H29" s="57">
        <v>1</v>
      </c>
      <c r="J29" s="37"/>
      <c r="K29" s="33" t="s">
        <v>12</v>
      </c>
      <c r="L29" s="125" t="s">
        <v>10</v>
      </c>
      <c r="M29" s="126"/>
      <c r="N29" s="53"/>
      <c r="O29" s="51"/>
      <c r="P29" s="51"/>
      <c r="Q29" s="57"/>
    </row>
    <row r="30" spans="1:20" x14ac:dyDescent="0.45">
      <c r="A30" s="53"/>
      <c r="B30" s="52"/>
      <c r="C30" s="51" t="s">
        <v>72</v>
      </c>
      <c r="D30" s="32" t="str">
        <f t="shared" si="0"/>
        <v>SCH40</v>
      </c>
      <c r="E30" s="51" t="s">
        <v>98</v>
      </c>
      <c r="F30" s="51" t="s">
        <v>52</v>
      </c>
      <c r="G30" s="51" t="s">
        <v>52</v>
      </c>
      <c r="H30" s="57">
        <v>1</v>
      </c>
      <c r="J30" s="37"/>
      <c r="K30" s="53"/>
      <c r="L30" s="120"/>
      <c r="M30" s="121"/>
      <c r="N30" s="53"/>
      <c r="O30" s="51"/>
      <c r="P30" s="51"/>
      <c r="Q30" s="57"/>
    </row>
    <row r="31" spans="1:20" ht="14.65" thickBot="1" x14ac:dyDescent="0.5">
      <c r="A31" s="53"/>
      <c r="B31" s="52"/>
      <c r="C31" s="51" t="s">
        <v>72</v>
      </c>
      <c r="D31" s="32" t="str">
        <f t="shared" si="0"/>
        <v>SCH40</v>
      </c>
      <c r="E31" s="51" t="s">
        <v>98</v>
      </c>
      <c r="F31" s="51" t="s">
        <v>52</v>
      </c>
      <c r="G31" s="51" t="s">
        <v>52</v>
      </c>
      <c r="H31" s="57">
        <v>1</v>
      </c>
      <c r="J31" s="37"/>
      <c r="K31" s="54"/>
      <c r="L31" s="108"/>
      <c r="M31" s="109"/>
      <c r="N31" s="54"/>
      <c r="O31" s="56"/>
      <c r="P31" s="56"/>
      <c r="Q31" s="58"/>
    </row>
    <row r="32" spans="1:20" x14ac:dyDescent="0.45">
      <c r="A32" s="53"/>
      <c r="B32" s="52"/>
      <c r="C32" s="51" t="s">
        <v>72</v>
      </c>
      <c r="D32" s="32" t="str">
        <f t="shared" si="0"/>
        <v>SCH40</v>
      </c>
      <c r="E32" s="51" t="s">
        <v>98</v>
      </c>
      <c r="F32" s="51" t="s">
        <v>52</v>
      </c>
      <c r="G32" s="51" t="s">
        <v>52</v>
      </c>
      <c r="H32" s="57">
        <v>1</v>
      </c>
      <c r="J32" s="37"/>
    </row>
    <row r="33" spans="1:10" ht="14.65" thickBot="1" x14ac:dyDescent="0.5">
      <c r="A33" s="54"/>
      <c r="B33" s="55"/>
      <c r="C33" s="56" t="s">
        <v>72</v>
      </c>
      <c r="D33" s="34" t="str">
        <f t="shared" si="0"/>
        <v>SCH40</v>
      </c>
      <c r="E33" s="56" t="s">
        <v>98</v>
      </c>
      <c r="F33" s="56" t="s">
        <v>52</v>
      </c>
      <c r="G33" s="56" t="s">
        <v>52</v>
      </c>
      <c r="H33" s="58">
        <v>1</v>
      </c>
      <c r="J33" s="37"/>
    </row>
  </sheetData>
  <mergeCells count="45">
    <mergeCell ref="A15:B15"/>
    <mergeCell ref="C15:D15"/>
    <mergeCell ref="A12:B12"/>
    <mergeCell ref="C11:H11"/>
    <mergeCell ref="C12:E12"/>
    <mergeCell ref="G12:I12"/>
    <mergeCell ref="G4:I4"/>
    <mergeCell ref="A11:B11"/>
    <mergeCell ref="D7:E7"/>
    <mergeCell ref="D8:I8"/>
    <mergeCell ref="G7:I7"/>
    <mergeCell ref="A8:B8"/>
    <mergeCell ref="A9:B10"/>
    <mergeCell ref="A7:B7"/>
    <mergeCell ref="C10:E10"/>
    <mergeCell ref="F10:I10"/>
    <mergeCell ref="L31:M31"/>
    <mergeCell ref="P8:R9"/>
    <mergeCell ref="Q10:R10"/>
    <mergeCell ref="P4:R5"/>
    <mergeCell ref="Q6:R6"/>
    <mergeCell ref="Q7:R7"/>
    <mergeCell ref="L29:M29"/>
    <mergeCell ref="L30:M30"/>
    <mergeCell ref="K14:M14"/>
    <mergeCell ref="K27:M28"/>
    <mergeCell ref="N14:P14"/>
    <mergeCell ref="N26:Q27"/>
    <mergeCell ref="L4:O4"/>
    <mergeCell ref="T6:U6"/>
    <mergeCell ref="A14:H14"/>
    <mergeCell ref="S1:U2"/>
    <mergeCell ref="T3:U3"/>
    <mergeCell ref="T4:U4"/>
    <mergeCell ref="T5:U5"/>
    <mergeCell ref="P1:R2"/>
    <mergeCell ref="Q3:R3"/>
    <mergeCell ref="K1:O2"/>
    <mergeCell ref="A1:I2"/>
    <mergeCell ref="A4:B4"/>
    <mergeCell ref="A5:B5"/>
    <mergeCell ref="A6:B6"/>
    <mergeCell ref="C5:I5"/>
    <mergeCell ref="C6:I6"/>
    <mergeCell ref="C4:E4"/>
  </mergeCells>
  <phoneticPr fontId="8" type="noConversion"/>
  <conditionalFormatting sqref="G9 I9:J9 F10:J10">
    <cfRule type="expression" dxfId="5" priority="2">
      <formula>$D$9="NO"</formula>
    </cfRule>
  </conditionalFormatting>
  <conditionalFormatting sqref="Q7:R7">
    <cfRule type="expression" dxfId="4" priority="1">
      <formula>$Q$6="NO"</formula>
    </cfRule>
  </conditionalFormatting>
  <dataValidations count="2">
    <dataValidation type="list" allowBlank="1" showInputMessage="1" showErrorMessage="1" sqref="E17:E33" xr:uid="{53C299D1-D18D-4AF2-AFEC-34836E1A4C2C}">
      <formula1>"150#"</formula1>
    </dataValidation>
    <dataValidation type="list" allowBlank="1" showInputMessage="1" showErrorMessage="1" sqref="T6:U6" xr:uid="{22F67527-4C75-473F-8EE9-682EB3329103}">
      <formula1>"2,3,4,5,6,7"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 xr:uid="{5359F9ED-68EC-48B5-83FD-FDEE460ABEA6}">
          <x14:formula1>
            <xm:f>Lists!$A$1:$A$5</xm:f>
          </x14:formula1>
          <xm:sqref>C6:J6</xm:sqref>
        </x14:dataValidation>
        <x14:dataValidation type="list" allowBlank="1" showInputMessage="1" showErrorMessage="1" xr:uid="{0F9B375A-C3D6-44D5-895A-08DFA22E77FA}">
          <x14:formula1>
            <xm:f>Lists!$B$1:$B$3</xm:f>
          </x14:formula1>
          <xm:sqref>G7:J7</xm:sqref>
        </x14:dataValidation>
        <x14:dataValidation type="list" allowBlank="1" showInputMessage="1" showErrorMessage="1" xr:uid="{F03BBAE3-44CD-4B6A-9704-2FFA34A3130D}">
          <x14:formula1>
            <xm:f>Lists!$E$1:$E$3</xm:f>
          </x14:formula1>
          <xm:sqref>D9 F17:G33 Q6:R6 T3:T4</xm:sqref>
        </x14:dataValidation>
        <x14:dataValidation type="list" allowBlank="1" showInputMessage="1" showErrorMessage="1" xr:uid="{F533253E-CEF7-4334-A47D-61BFA6515330}">
          <x14:formula1>
            <xm:f>Lists!$F$1:$F$4</xm:f>
          </x14:formula1>
          <xm:sqref>D17:D33 P17:P20</xm:sqref>
        </x14:dataValidation>
        <x14:dataValidation type="list" allowBlank="1" showInputMessage="1" showErrorMessage="1" xr:uid="{F26DA855-468F-4F52-B773-FD1C4B3378A3}">
          <x14:formula1>
            <xm:f>Lists!$G$1:$G$3</xm:f>
          </x14:formula1>
          <xm:sqref>C17:C33</xm:sqref>
        </x14:dataValidation>
        <x14:dataValidation type="list" allowBlank="1" showInputMessage="1" showErrorMessage="1" xr:uid="{53A05233-8376-474B-887A-3000908E985C}">
          <x14:formula1>
            <xm:f>Lists!$H$1:$H$6</xm:f>
          </x14:formula1>
          <xm:sqref>L30:L32</xm:sqref>
        </x14:dataValidation>
        <x14:dataValidation type="list" allowBlank="1" showInputMessage="1" showErrorMessage="1" xr:uid="{0A793142-A49C-414E-83BC-028FAB2DC6CD}">
          <x14:formula1>
            <xm:f>Lists!$I$1:$I$18</xm:f>
          </x14:formula1>
          <xm:sqref>B17:B33 O17:O20</xm:sqref>
        </x14:dataValidation>
        <x14:dataValidation type="list" allowBlank="1" showInputMessage="1" showErrorMessage="1" xr:uid="{92EBA03F-6EAF-45DE-8B73-3032EC81E84F}">
          <x14:formula1>
            <xm:f>Lists!$J$1:$J$3</xm:f>
          </x14:formula1>
          <xm:sqref>Q29:Q31</xm:sqref>
        </x14:dataValidation>
        <x14:dataValidation type="list" allowBlank="1" showInputMessage="1" showErrorMessage="1" xr:uid="{06CD9C53-DE5F-46DF-9345-46818A6CB5A4}">
          <x14:formula1>
            <xm:f>Lists!$K$1:$K$4</xm:f>
          </x14:formula1>
          <xm:sqref>P29:P31</xm:sqref>
        </x14:dataValidation>
        <x14:dataValidation type="list" allowBlank="1" showInputMessage="1" showErrorMessage="1" xr:uid="{130B579C-59F5-4AC9-A992-4498724E7A72}">
          <x14:formula1>
            <xm:f>Lists!$L$1:$L$4</xm:f>
          </x14:formula1>
          <xm:sqref>O29:O31</xm:sqref>
        </x14:dataValidation>
        <x14:dataValidation type="list" allowBlank="1" showInputMessage="1" showErrorMessage="1" xr:uid="{A322F131-B92E-4F8E-8C21-E6891A59970C}">
          <x14:formula1>
            <xm:f>Lists!$A$9:$A$12</xm:f>
          </x14:formula1>
          <xm:sqref>G4:J4</xm:sqref>
        </x14:dataValidation>
        <x14:dataValidation type="list" allowBlank="1" showInputMessage="1" showErrorMessage="1" xr:uid="{1B8F4EB0-2ED1-4007-A6F8-B427D193CA39}">
          <x14:formula1>
            <xm:f>SHELLS!$C$3:$C$602</xm:f>
          </x14:formula1>
          <xm:sqref>M5:M13</xm:sqref>
        </x14:dataValidation>
        <x14:dataValidation type="list" allowBlank="1" showInputMessage="1" showErrorMessage="1" xr:uid="{4608BD22-BCFE-4080-AED7-0AC0CA039522}">
          <x14:formula1>
            <xm:f>Lists!$N$1:$N$8</xm:f>
          </x14:formula1>
          <xm:sqref>L4:N4 O3:O4</xm:sqref>
        </x14:dataValidation>
        <x14:dataValidation type="list" allowBlank="1" showInputMessage="1" showErrorMessage="1" xr:uid="{DE80755F-4524-42EA-92D7-23B3E04BA1F8}">
          <x14:formula1>
            <xm:f>Lists!$O$1:$O$4</xm:f>
          </x14:formula1>
          <xm:sqref>M3</xm:sqref>
        </x14:dataValidation>
        <x14:dataValidation type="list" allowBlank="1" showInputMessage="1" showErrorMessage="1" xr:uid="{324DB8CF-D704-4578-A0E3-F452F8CCC988}">
          <x14:formula1>
            <xm:f>Lists!$P$1:$P$7</xm:f>
          </x14:formula1>
          <xm:sqref>Q3:R3</xm:sqref>
        </x14:dataValidation>
        <x14:dataValidation type="list" allowBlank="1" showInputMessage="1" showErrorMessage="1" xr:uid="{A8519471-52EB-4CA7-87EA-945CEF53FB36}">
          <x14:formula1>
            <xm:f>Lists!$N$1:$N$6</xm:f>
          </x14:formula1>
          <xm:sqref>O5:O13</xm:sqref>
        </x14:dataValidation>
        <x14:dataValidation type="list" allowBlank="1" showInputMessage="1" showErrorMessage="1" xr:uid="{00E9D510-227A-4278-919D-8103D806333C}">
          <x14:formula1>
            <xm:f>Lists!$Q$1:$Q$4</xm:f>
          </x14:formula1>
          <xm:sqref>Q7:R7</xm:sqref>
        </x14:dataValidation>
        <x14:dataValidation type="list" allowBlank="1" showInputMessage="1" showErrorMessage="1" xr:uid="{8F900E9A-3369-426B-8F33-A497492A10A6}">
          <x14:formula1>
            <xm:f>Lists!$N$5:$N$10</xm:f>
          </x14:formula1>
          <xm:sqref>R11:R13</xm:sqref>
        </x14:dataValidation>
        <x14:dataValidation type="list" allowBlank="1" showInputMessage="1" showErrorMessage="1" xr:uid="{D9357F75-ED02-4DBD-8921-0B1F177C1003}">
          <x14:formula1>
            <xm:f>Lists!$F$1:$F$3</xm:f>
          </x14:formula1>
          <xm:sqref>C15:D15</xm:sqref>
        </x14:dataValidation>
        <x14:dataValidation type="list" allowBlank="1" showInputMessage="1" showErrorMessage="1" xr:uid="{BBBCA065-E9DA-49AF-933A-42807C6E0F00}">
          <x14:formula1>
            <xm:f>Lists!$R$1:$R$2</xm:f>
          </x14:formula1>
          <xm:sqref>N29:N31</xm:sqref>
        </x14:dataValidation>
        <x14:dataValidation type="list" allowBlank="1" showInputMessage="1" showErrorMessage="1" xr:uid="{DDB5AFFE-8F65-4658-8D2E-A04C25F6F706}">
          <x14:formula1>
            <xm:f>Lists!$A$15:$A$17</xm:f>
          </x14:formula1>
          <xm:sqref>T5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2345-DAC9-4AFF-BFAE-D13FC8F1A4A3}">
  <sheetPr codeName="Sheet2"/>
  <dimension ref="A1:G275"/>
  <sheetViews>
    <sheetView tabSelected="1" topLeftCell="A62" zoomScale="61" workbookViewId="0">
      <selection activeCell="E11" sqref="E11"/>
    </sheetView>
  </sheetViews>
  <sheetFormatPr defaultRowHeight="14.25" x14ac:dyDescent="0.45"/>
  <cols>
    <col min="2" max="2" width="20.59765625" customWidth="1"/>
    <col min="3" max="3" width="9.3984375" bestFit="1" customWidth="1"/>
    <col min="4" max="4" width="44.3984375" customWidth="1"/>
    <col min="5" max="5" width="22.86328125" bestFit="1" customWidth="1"/>
    <col min="6" max="6" width="12.73046875" style="37" bestFit="1" customWidth="1"/>
    <col min="7" max="7" width="9.3984375" bestFit="1" customWidth="1"/>
  </cols>
  <sheetData>
    <row r="1" spans="1:7" ht="28.5" x14ac:dyDescent="0.45">
      <c r="B1" s="186" t="s">
        <v>6</v>
      </c>
      <c r="C1" s="187"/>
      <c r="D1" s="187"/>
      <c r="E1" s="187"/>
      <c r="F1" s="187"/>
      <c r="G1" s="188"/>
    </row>
    <row r="2" spans="1:7" ht="15.75" x14ac:dyDescent="0.45">
      <c r="B2" s="2" t="s">
        <v>7</v>
      </c>
      <c r="C2" s="189">
        <f>MAIN!C4</f>
        <v>0</v>
      </c>
      <c r="D2" s="189"/>
      <c r="E2" s="3" t="s">
        <v>8</v>
      </c>
      <c r="F2" s="190">
        <f ca="1">TODAY()</f>
        <v>45830</v>
      </c>
      <c r="G2" s="191"/>
    </row>
    <row r="3" spans="1:7" ht="15.75" x14ac:dyDescent="0.45">
      <c r="B3" s="2" t="s">
        <v>9</v>
      </c>
      <c r="C3" s="189">
        <f>MAIN!C5</f>
        <v>0</v>
      </c>
      <c r="D3" s="189"/>
      <c r="E3" s="3" t="s">
        <v>10</v>
      </c>
      <c r="F3" s="192" t="str">
        <f>CONCATENATE(MAIN!D7,Lists!C2,MAIN!G7,Lists!C1,MAIN!D8,Lists!C2)</f>
        <v>" X "</v>
      </c>
      <c r="G3" s="193"/>
    </row>
    <row r="4" spans="1:7" ht="15.75" x14ac:dyDescent="0.5">
      <c r="A4" t="s">
        <v>397</v>
      </c>
      <c r="B4" s="4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6" t="s">
        <v>16</v>
      </c>
    </row>
    <row r="5" spans="1:7" ht="15.75" x14ac:dyDescent="0.5">
      <c r="A5">
        <v>1</v>
      </c>
      <c r="B5" s="32" t="s">
        <v>44</v>
      </c>
      <c r="C5" s="5" t="str">
        <f>IF(MAIN!$M$3="cone",1," ")</f>
        <v xml:space="preserve"> </v>
      </c>
      <c r="D5" s="5">
        <f>IF(C5=1,CONCATENATE(MAIN!$O$3,Lists!$C$2,Lists!$C$1,VLOOKUP(MAIN!$D$7,'top-bottom sizes'!B:F,2,FALSE)),)</f>
        <v>0</v>
      </c>
      <c r="E5" s="5">
        <f>IF(C5=1,MAIN!$G$4,)</f>
        <v>0</v>
      </c>
      <c r="F5" s="5">
        <f>IF(C5=1,VLOOKUP(MAIN!$D$7,'top-bottom sizes'!B:T,12,FALSE)*VLOOKUP(MAIN!$D$7,'top-bottom sizes'!B:T,13,FALSE)*Lists!$X$20/144*VLOOKUP(MAIN!$O$3,IF(MAIN!$G$4="SA36",[1]Plate!$A$31:$C$39,IF(MAIN!$G$4="304",[1]Plate!$G$4:$I$11,[1]Plate!$M$4:$O$11)),3,FALSE),)</f>
        <v>0</v>
      </c>
      <c r="G5" s="6">
        <f>IF(C5=1,VLOOKUP(MAIN!$D$7,'top-bottom sizes'!B:K,8,FALSE),)</f>
        <v>0</v>
      </c>
    </row>
    <row r="6" spans="1:7" ht="15.75" x14ac:dyDescent="0.5">
      <c r="A6">
        <v>2</v>
      </c>
      <c r="B6" s="32"/>
      <c r="C6" s="5" t="str">
        <f>IF(MAIN!$M$3="cone",1," ")</f>
        <v xml:space="preserve"> </v>
      </c>
      <c r="D6" s="5">
        <f>IF(C5=1,CONCATENATE(MAIN!$O$3,Lists!$C$2,Lists!$C$1,VLOOKUP(MAIN!$D$7,'top-bottom sizes'!B:F,3,FALSE)),)</f>
        <v>0</v>
      </c>
      <c r="E6" s="5">
        <f>IF(C6=1,MAIN!$G$4,)</f>
        <v>0</v>
      </c>
      <c r="F6" s="5">
        <f>IF(C6=1,VLOOKUP(MAIN!$D$7,'top-bottom sizes'!B:T,14,FALSE)*VLOOKUP(MAIN!$D$7,'top-bottom sizes'!B:T,15,FALSE)*Lists!$X$20/144*VLOOKUP(MAIN!$O$3,IF(MAIN!$G$4="SA36",[1]Plate!$A$31:$C$39,IF(MAIN!$G$4="304",[1]Plate!$G$4:$I$11,[1]Plate!$M$4:$O$11)),3,FALSE),)</f>
        <v>0</v>
      </c>
      <c r="G6" s="6" t="s">
        <v>232</v>
      </c>
    </row>
    <row r="7" spans="1:7" ht="15.75" x14ac:dyDescent="0.5">
      <c r="A7">
        <v>3</v>
      </c>
      <c r="B7" s="32" t="s">
        <v>45</v>
      </c>
      <c r="C7" s="5" t="str">
        <f>IF(MAIN!$M$3="FLAT",1," ")</f>
        <v xml:space="preserve"> </v>
      </c>
      <c r="D7" s="5">
        <f>IF(C7=1,CONCATENATE(MAIN!$O$3,Lists!$C$2,Lists!$C$1,VLOOKUP(MAIN!$D$7,'top-bottom sizes'!B:F,2,FALSE)),)</f>
        <v>0</v>
      </c>
      <c r="E7" s="5">
        <f>IF(C7=1,MAIN!$G$4,)</f>
        <v>0</v>
      </c>
      <c r="F7" s="5">
        <f>IF(C7=1,VLOOKUP(MAIN!$D$7,'top-bottom sizes'!B:T,12,FALSE)*VLOOKUP(MAIN!$D$7,'top-bottom sizes'!B:T,13,FALSE)*Lists!$X$20/144*VLOOKUP(MAIN!$O$3,IF(MAIN!$G$4="SA36",[1]Plate!$A$31:$C$39,IF(MAIN!$G$4="304",[1]Plate!$G$4:$I$11,[1]Plate!$M$4:$O$11)),3,FALSE),)</f>
        <v>0</v>
      </c>
      <c r="G7" s="6">
        <f>IF(C7=1,VLOOKUP(MAIN!$D$7,'top-bottom sizes'!B:K,7,FALSE),)</f>
        <v>0</v>
      </c>
    </row>
    <row r="8" spans="1:7" ht="15.75" x14ac:dyDescent="0.5">
      <c r="A8">
        <v>4</v>
      </c>
      <c r="B8" s="32"/>
      <c r="C8" s="5" t="str">
        <f>IF(MAIN!$M$3="FLAT",1," ")</f>
        <v xml:space="preserve"> </v>
      </c>
      <c r="D8" s="5">
        <f>IF(C7=1,CONCATENATE(MAIN!$O$3,Lists!$C$2,Lists!$C$1,VLOOKUP(MAIN!$D$7,'top-bottom sizes'!B:F,3,FALSE)),)</f>
        <v>0</v>
      </c>
      <c r="E8" s="5">
        <f>IF(C8=1,MAIN!$G$4,)</f>
        <v>0</v>
      </c>
      <c r="F8" s="5">
        <f>IF(C8=1,VLOOKUP(MAIN!$D$7,'top-bottom sizes'!B:T,14,FALSE)*VLOOKUP(MAIN!$D$7,'top-bottom sizes'!B:T,15,FALSE)*Lists!$X$20/144*VLOOKUP(MAIN!$O$3,IF(MAIN!$G$4="SA36",[1]Plate!$A$31:$C$39,IF(MAIN!$G$4="304",[1]Plate!$G$4:$I$11,[1]Plate!$M$4:$O$11)),3,FALSE),)</f>
        <v>0</v>
      </c>
      <c r="G8" s="6" t="s">
        <v>232</v>
      </c>
    </row>
    <row r="9" spans="1:7" ht="15.75" x14ac:dyDescent="0.5">
      <c r="A9">
        <v>5</v>
      </c>
      <c r="B9" s="32" t="s">
        <v>227</v>
      </c>
      <c r="C9" s="38">
        <f>ROUNDUP(IF(MAIN!Q3&lt;&gt;"",MAIN!D7*3.1416/20,)/12,0)</f>
        <v>0</v>
      </c>
      <c r="D9" s="5">
        <f>MAIN!Q3</f>
        <v>0</v>
      </c>
      <c r="E9" s="5">
        <f>IF(C9&gt;0,MAIN!G4,)</f>
        <v>0</v>
      </c>
      <c r="F9" s="5" t="e">
        <f>IF(MAIN!G4="sa36",VLOOKUP(MAIN!Q3,[1]Plate!$A$54:$C$60,3,FALSE),VLOOKUP(MAIN!Q3,[1]Plate!$G$21:$I$27,3,FALSE))*C9</f>
        <v>#N/A</v>
      </c>
      <c r="G9" s="6" t="e">
        <f>IF(C7&lt;&gt;"",VLOOKUP(MAIN!$D$7,'top-bottom sizes'!B:K,10,FALSE),)</f>
        <v>#N/A</v>
      </c>
    </row>
    <row r="10" spans="1:7" ht="15.75" x14ac:dyDescent="0.5">
      <c r="A10">
        <v>6</v>
      </c>
      <c r="B10" s="32" t="s">
        <v>324</v>
      </c>
      <c r="C10" s="38" t="e">
        <f>IF($G$10&lt;&gt;"","yes",)</f>
        <v>#N/A</v>
      </c>
      <c r="D10" s="5" t="e">
        <f>IF($G$10&lt;&gt;"","yes",)</f>
        <v>#N/A</v>
      </c>
      <c r="E10" s="5" t="e">
        <f>IF($G$10&lt;&gt;"","yes",)</f>
        <v>#N/A</v>
      </c>
      <c r="F10" s="5" t="e">
        <f>IF($G$10&lt;&gt;"","0000",)</f>
        <v>#N/A</v>
      </c>
      <c r="G10" s="6" t="e">
        <f>SUM(VLOOKUP(MAIN!D8,SHELLS!C:X,IF(MAIN!G4="SA36",22,12),FALSE)*VLOOKUP(MAIN!D7,SHELLS!AU:AZ,IF(MAIN!O5=0.5,6,IF(MAIN!O5=0.375,5,4)),FALSE),(VLOOKUP(MAIN!D8,SHELLS!C:X,IF(MAIN!G4="SA36",22,12),FALSE)-1)*VLOOKUP(MAIN!D7,SHELLS!BC:BH,IF(MAIN!O5=0.5,6,IF(MAIN!O5=0.375,5,4)),FALSE))</f>
        <v>#N/A</v>
      </c>
    </row>
    <row r="11" spans="1:7" ht="15.75" x14ac:dyDescent="0.5">
      <c r="A11">
        <v>7</v>
      </c>
      <c r="B11" s="32" t="s">
        <v>299</v>
      </c>
      <c r="C11" s="5" t="e">
        <f>VLOOKUP(0.1875,Lists!$AP$4:$AU$12,2,FALSE)</f>
        <v>#N/A</v>
      </c>
      <c r="D11" s="5" t="e">
        <f>IF(MAIN!$G$4="SA36",CONCATENATE(".1875 X 48 X ",VLOOKUP(MAIN!$D$7,SHELLS!$AC:$AG,4,FALSE)),CONCATENATE(".1875 X 48 X ",VLOOKUP(MAIN!$D$7,SHELLS!$AC:$AG,2,FALSE)))</f>
        <v>#N/A</v>
      </c>
      <c r="E11" s="5" t="e">
        <f>IF(C11&gt;0,MAIN!$G$4,)</f>
        <v>#N/A</v>
      </c>
      <c r="F11" s="5" t="e">
        <f>C11*48*IF(MAIN!$G$4="SA36",VLOOKUP(MAIN!$D$7,SHELLS!$AC:$AG,4,FALSE),VLOOKUP(MAIN!$D$7,SHELLS!$AC:$AG,2,FALSE))*IF(MAIN!$G$4="SA36",7.66,8.58)/144*IF(MAIN!$G$4="SA36",[1]Plate!$C$31,IF(MAIN!$G$4="304",[1]Plate!$I$4,[1]Plate!$O$4))</f>
        <v>#N/A</v>
      </c>
      <c r="G11" s="6"/>
    </row>
    <row r="12" spans="1:7" ht="15.75" x14ac:dyDescent="0.5">
      <c r="A12">
        <v>8</v>
      </c>
      <c r="B12" s="32" t="s">
        <v>299</v>
      </c>
      <c r="C12" s="5" t="e">
        <f>VLOOKUP(0.1875,Lists!$AP$4:$AU$12,2,FALSE)</f>
        <v>#N/A</v>
      </c>
      <c r="D12" s="5" t="e">
        <f>IF(MAIN!$G$4="SA36",CONCATENATE(".1875 X 48 X ",VLOOKUP(MAIN!$D$7,SHELLS!$AC:$AG,5,FALSE)),CONCATENATE(".1875 X 48 X ",VLOOKUP(MAIN!$D$7,SHELLS!$AC:$AG,3,FALSE)))</f>
        <v>#N/A</v>
      </c>
      <c r="E12" s="5" t="e">
        <f>IF(C12&gt;0,MAIN!$G$4,)</f>
        <v>#N/A</v>
      </c>
      <c r="F12" s="5" t="e">
        <f>C12*48*IF(MAIN!$G$4="SA36",VLOOKUP(MAIN!$D$7,SHELLS!$AC:$AG,5,FALSE),VLOOKUP(MAIN!$D$7,SHELLS!$AC:$AG,3,FALSE))*IF(MAIN!$G$4="SA36",7.66,8.58)/144*IF(MAIN!$G$4="SA36",[1]Plate!$C$31,IF(MAIN!$G$4="304",[1]Plate!$I$4,[1]Plate!$O$4))</f>
        <v>#N/A</v>
      </c>
      <c r="G12" s="6"/>
    </row>
    <row r="13" spans="1:7" ht="15.75" x14ac:dyDescent="0.5">
      <c r="A13">
        <v>9</v>
      </c>
      <c r="B13" s="32" t="s">
        <v>300</v>
      </c>
      <c r="C13" s="5" t="e">
        <f>VLOOKUP(0.1875,Lists!$AP$4:$AU$12,3,FALSE)</f>
        <v>#N/A</v>
      </c>
      <c r="D13" s="5" t="e">
        <f>IF(MAIN!$G$4="SA36",CONCATENATE(".1875 X 60 X ",VLOOKUP(MAIN!$D$7,SHELLS!$AC:$AG,4,FALSE)),CONCATENATE(".1875 X 60 X ",VLOOKUP(MAIN!$D$7,SHELLS!$AC:$AG,2,FALSE)))</f>
        <v>#N/A</v>
      </c>
      <c r="E13" s="5" t="e">
        <f>IF(C13&gt;0,MAIN!$G$4,)</f>
        <v>#N/A</v>
      </c>
      <c r="F13" s="5" t="e">
        <f>C13*60*IF(MAIN!$G$4="SA36",VLOOKUP(MAIN!$D$7,SHELLS!$AC:$AG,4,FALSE),VLOOKUP(MAIN!$D$7,SHELLS!$AC:$AG,2,FALSE))*IF(MAIN!$G$4="SA36",7.66,8.58)/144*IF(MAIN!$G$4="SA36",[1]Plate!$C$31,IF(MAIN!$G$4="304",[1]Plate!$I$4,[1]Plate!$O$4))</f>
        <v>#N/A</v>
      </c>
      <c r="G13" s="6"/>
    </row>
    <row r="14" spans="1:7" ht="15.75" x14ac:dyDescent="0.5">
      <c r="A14">
        <v>10</v>
      </c>
      <c r="B14" s="32" t="s">
        <v>300</v>
      </c>
      <c r="C14" s="5" t="e">
        <f>VLOOKUP(0.1875,Lists!$AP$4:$AU$12,3,FALSE)</f>
        <v>#N/A</v>
      </c>
      <c r="D14" s="5" t="e">
        <f>IF(MAIN!$G$4="SA36",CONCATENATE(".1875 X 60 X ",VLOOKUP(MAIN!$D$7,SHELLS!$AC:$AG,5,FALSE)),CONCATENATE(".1875 X 60 X ",VLOOKUP(MAIN!$D$7,SHELLS!$AC:$AG,3,FALSE)))</f>
        <v>#N/A</v>
      </c>
      <c r="E14" s="5" t="e">
        <f>IF(C14&gt;0,MAIN!$G$4,)</f>
        <v>#N/A</v>
      </c>
      <c r="F14" s="5" t="e">
        <f>C14*60*IF(MAIN!$G$4="SA36",VLOOKUP(MAIN!$D$7,SHELLS!$AC:$AG,5,FALSE),VLOOKUP(MAIN!$D$7,SHELLS!$AC:$AG,3,FALSE))*IF(MAIN!$G$4="SA36",7.66,8.58)/144*IF(MAIN!$G$4="SA36",[1]Plate!$C$31,IF(MAIN!$G$4="304",[1]Plate!$I$4,[1]Plate!$O$4))</f>
        <v>#N/A</v>
      </c>
      <c r="G14" s="6"/>
    </row>
    <row r="15" spans="1:7" ht="15.75" x14ac:dyDescent="0.5">
      <c r="A15">
        <v>11</v>
      </c>
      <c r="B15" s="32" t="s">
        <v>301</v>
      </c>
      <c r="C15" s="5" t="e">
        <f>VLOOKUP(0.1875,Lists!$AP$4:$AU$12,4,FALSE)</f>
        <v>#N/A</v>
      </c>
      <c r="D15" s="5" t="e">
        <f>IF(MAIN!$G$4="SA36",CONCATENATE(".1875 X 72 X ",VLOOKUP(MAIN!$D$7,SHELLS!$AC:$AG,4,FALSE)),CONCATENATE(".1875 X 72 X ",VLOOKUP(MAIN!$D$7,SHELLS!$AC:$AG,2,FALSE)))</f>
        <v>#N/A</v>
      </c>
      <c r="E15" s="5" t="e">
        <f>IF(C15&gt;0,MAIN!$G$4,)</f>
        <v>#N/A</v>
      </c>
      <c r="F15" s="5" t="e">
        <f>C15*72*IF(MAIN!$G$4="SA36",VLOOKUP(MAIN!$D$7,SHELLS!$AC:$AG,4,FALSE),VLOOKUP(MAIN!$D$7,SHELLS!$AC:$AG,2,FALSE))*IF(MAIN!$G$4="SA36",7.66,8.58)/144*IF(MAIN!$G$4="SA36",[1]Plate!$C$31,IF(MAIN!$G$4="304",SUM([1]Plate!$I$4+0.3),SUM([1]Plate!$O$4+0.3)))</f>
        <v>#N/A</v>
      </c>
      <c r="G15" s="6"/>
    </row>
    <row r="16" spans="1:7" ht="15.75" x14ac:dyDescent="0.5">
      <c r="A16">
        <v>12</v>
      </c>
      <c r="B16" s="32" t="s">
        <v>301</v>
      </c>
      <c r="C16" s="5" t="e">
        <f>VLOOKUP(0.1875,Lists!$AP$4:$AU$12,4,FALSE)</f>
        <v>#N/A</v>
      </c>
      <c r="D16" s="5" t="e">
        <f>IF(MAIN!$G$4="SA36",CONCATENATE(".1875 X 72 X ",VLOOKUP(MAIN!$D$7,SHELLS!$AC:$AG,5,FALSE)),CONCATENATE(".1875 X 72 X ",VLOOKUP(MAIN!$D$7,SHELLS!$AC:$AG,3,FALSE)))</f>
        <v>#N/A</v>
      </c>
      <c r="E16" s="5" t="e">
        <f>IF(C16&gt;0,MAIN!$G$4,)</f>
        <v>#N/A</v>
      </c>
      <c r="F16" s="5" t="e">
        <f>C16*72*IF(MAIN!$G$4="SA36",VLOOKUP(MAIN!$D$7,SHELLS!$AC:$AG,5,FALSE),VLOOKUP(MAIN!$D$7,SHELLS!$AC:$AG,3,FALSE))*IF(MAIN!$G$4="SA36",7.66,8.58)/144*IF(MAIN!$G$4="SA36",[1]Plate!$C$31,IF(MAIN!$G$4="304",SUM([1]Plate!$I$4+0.3),SUM([1]Plate!$O$4+0.3)))</f>
        <v>#N/A</v>
      </c>
      <c r="G16" s="6"/>
    </row>
    <row r="17" spans="1:7" ht="15.75" x14ac:dyDescent="0.5">
      <c r="A17">
        <v>13</v>
      </c>
      <c r="B17" s="32" t="s">
        <v>302</v>
      </c>
      <c r="C17" s="5" t="e">
        <f>VLOOKUP(0.1875,Lists!$AP$4:$AU$12,5,FALSE)</f>
        <v>#N/A</v>
      </c>
      <c r="D17" s="5" t="e">
        <f>IF(MAIN!$G$4="SA36",CONCATENATE(".1875 X 96 X ",VLOOKUP(MAIN!$D$7,SHELLS!$AC:$AG,4,FALSE)),CONCATENATE(".1875 X 96 X ",VLOOKUP(MAIN!$D$7,SHELLS!$AC:$AG,2,FALSE)))</f>
        <v>#N/A</v>
      </c>
      <c r="E17" s="5" t="e">
        <f>IF(C17&gt;0,MAIN!$G$4,)</f>
        <v>#N/A</v>
      </c>
      <c r="F17" s="5" t="e">
        <f>C17*96*IF(MAIN!$G$4="SA36",VLOOKUP(MAIN!$D$7,SHELLS!$AC:$AG,4,FALSE),)*IF(MAIN!$G$4="SA36",7.66,8.58)/144*IF(MAIN!$G$4="SA36",[1]Plate!$C$41,)</f>
        <v>#N/A</v>
      </c>
      <c r="G17" s="6"/>
    </row>
    <row r="18" spans="1:7" ht="15.75" x14ac:dyDescent="0.5">
      <c r="A18">
        <v>14</v>
      </c>
      <c r="B18" s="32" t="s">
        <v>302</v>
      </c>
      <c r="C18" s="5" t="e">
        <f>VLOOKUP(0.1875,Lists!$AP$4:$AU$12,5,FALSE)</f>
        <v>#N/A</v>
      </c>
      <c r="D18" s="5" t="e">
        <f>IF(MAIN!$G$4="SA36",CONCATENATE(".1875 X 96 X ",VLOOKUP(MAIN!$D$7,SHELLS!$AC:$AG,5,FALSE)),CONCATENATE(".1875 X 96 X ",VLOOKUP(MAIN!$D$7,SHELLS!$AC:$AG,3,FALSE)))</f>
        <v>#N/A</v>
      </c>
      <c r="E18" s="5" t="e">
        <f>IF(C18&gt;0,MAIN!$G$4,)</f>
        <v>#N/A</v>
      </c>
      <c r="F18" s="5" t="e">
        <f>C18*96*IF(MAIN!$G$4="SA36",VLOOKUP(MAIN!$D$7,SHELLS!$AC:$AG,5,FALSE),)*IF(MAIN!$G$4="SA36",7.66,8.58)/144*IF(MAIN!$G$4="SA36",[1]Plate!$C$41,)</f>
        <v>#N/A</v>
      </c>
      <c r="G18" s="6"/>
    </row>
    <row r="19" spans="1:7" ht="15.75" x14ac:dyDescent="0.5">
      <c r="A19">
        <v>15</v>
      </c>
      <c r="B19" s="32" t="s">
        <v>303</v>
      </c>
      <c r="C19" s="5" t="e">
        <f>VLOOKUP(0.1875,Lists!$AP$4:$AU$12,6,FALSE)</f>
        <v>#N/A</v>
      </c>
      <c r="D19" s="5" t="e">
        <f>IF(MAIN!$G$4="SA36",CONCATENATE(".1875 X 120 X ",VLOOKUP(MAIN!$D$7,SHELLS!$AC:$AG,4,FALSE)),CONCATENATE(".1875 X 120 X ",VLOOKUP(MAIN!$D$7,SHELLS!$AC:$AG,2,FALSE)))</f>
        <v>#N/A</v>
      </c>
      <c r="E19" s="5" t="e">
        <f>IF(C19&gt;0,MAIN!$G$4,)</f>
        <v>#N/A</v>
      </c>
      <c r="F19" s="5" t="e">
        <f>C19*120*IF(MAIN!$G$4="SA36",VLOOKUP(MAIN!$D$7,SHELLS!$AC:$AG,4,FALSE),)*IF(MAIN!$G$4="SA36",7.66,8.58)/144*IF(MAIN!$G$4="SA36",[1]Plate!$C$42,)</f>
        <v>#N/A</v>
      </c>
      <c r="G19" s="6"/>
    </row>
    <row r="20" spans="1:7" ht="15.75" x14ac:dyDescent="0.5">
      <c r="A20">
        <v>16</v>
      </c>
      <c r="B20" s="32" t="s">
        <v>303</v>
      </c>
      <c r="C20" s="5" t="e">
        <f>VLOOKUP(0.1875,Lists!$AP$4:$AU$12,6,FALSE)</f>
        <v>#N/A</v>
      </c>
      <c r="D20" s="5" t="e">
        <f>IF(MAIN!$G$4="SA36",CONCATENATE(".1875 X 120 X ",VLOOKUP(MAIN!$D$7,SHELLS!$AC:$AG,5,FALSE)),CONCATENATE(".1875 X 120 X ",VLOOKUP(MAIN!$D$7,SHELLS!$AC:$AG,3,FALSE)))</f>
        <v>#N/A</v>
      </c>
      <c r="E20" s="5" t="e">
        <f>IF(C20&gt;0,MAIN!$G$4,)</f>
        <v>#N/A</v>
      </c>
      <c r="F20" s="5" t="e">
        <f>C20*120*IF(MAIN!$G$4="SA36",VLOOKUP(MAIN!$D$7,SHELLS!$AC:$AG,5,FALSE),)*IF(MAIN!$G$4="SA36",7.66,8.58)/144*IF(MAIN!$G$4="SA36",[1]Plate!$C$42,)</f>
        <v>#N/A</v>
      </c>
      <c r="G20" s="6"/>
    </row>
    <row r="21" spans="1:7" ht="15.75" x14ac:dyDescent="0.5">
      <c r="A21">
        <v>17</v>
      </c>
      <c r="B21" s="32" t="s">
        <v>304</v>
      </c>
      <c r="C21" s="5" t="e">
        <f>VLOOKUP(0.25,Lists!$AP$4:$AU$12,2,FALSE)</f>
        <v>#N/A</v>
      </c>
      <c r="D21" s="5" t="e">
        <f>IF(MAIN!$G$4="SA36",CONCATENATE(".25 X 48 X ",VLOOKUP(MAIN!$D$7,SHELLS!$AC:$AG,4,FALSE)),CONCATENATE(".25 X 48 X ",VLOOKUP(MAIN!$D$7,SHELLS!$AC:$AG,2,FALSE)))</f>
        <v>#N/A</v>
      </c>
      <c r="E21" s="5" t="e">
        <f>IF(C21&gt;0,MAIN!$G$4,)</f>
        <v>#N/A</v>
      </c>
      <c r="F21" s="5" t="e">
        <f>C21*48*IF(MAIN!$G$4="SA36",VLOOKUP(MAIN!$D$7,SHELLS!$AC:$AG,4,FALSE),VLOOKUP(MAIN!$D$7,SHELLS!$AC:$AG,2,FALSE))*IF(MAIN!$G$4="SA36",10.21,11.16)/144*IF(MAIN!$G$4="SA36",[1]Plate!$C$32,IF(MAIN!$G$4="304",[1]Plate!$I$5,[1]Plate!$O$5))</f>
        <v>#N/A</v>
      </c>
      <c r="G21" s="6"/>
    </row>
    <row r="22" spans="1:7" ht="15.75" x14ac:dyDescent="0.5">
      <c r="A22">
        <v>18</v>
      </c>
      <c r="B22" s="32" t="s">
        <v>304</v>
      </c>
      <c r="C22" s="5" t="e">
        <f>VLOOKUP(0.25,Lists!$AP$4:$AU$12,2,FALSE)</f>
        <v>#N/A</v>
      </c>
      <c r="D22" s="5" t="e">
        <f>IF(MAIN!$G$4="SA36",CONCATENATE(".25 X 48 X ",VLOOKUP(MAIN!$D$7,SHELLS!$AC:$AG,5,FALSE)),CONCATENATE(".25 X 48 X ",VLOOKUP(MAIN!$D$7,SHELLS!$AC:$AG,3,FALSE)))</f>
        <v>#N/A</v>
      </c>
      <c r="E22" s="5" t="e">
        <f>IF(C22&gt;0,MAIN!$G$4,)</f>
        <v>#N/A</v>
      </c>
      <c r="F22" s="5" t="e">
        <f>C22*48*IF(MAIN!$G$4="SA36",VLOOKUP(MAIN!$D$7,SHELLS!$AC:$AG,5,FALSE),VLOOKUP(MAIN!$D$7,SHELLS!$AC:$AG,3,FALSE))*IF(MAIN!$G$4="SA36",10.21,11.16)/144*IF(MAIN!$G$4="SA36",[1]Plate!$C$32,IF(MAIN!$G$4="304",[1]Plate!$I$5,[1]Plate!$O$5))</f>
        <v>#N/A</v>
      </c>
      <c r="G22" s="6"/>
    </row>
    <row r="23" spans="1:7" ht="15.75" x14ac:dyDescent="0.5">
      <c r="A23">
        <v>19</v>
      </c>
      <c r="B23" s="32" t="s">
        <v>305</v>
      </c>
      <c r="C23" s="5" t="e">
        <f>VLOOKUP(0.25,Lists!$AP$4:$AU$12,3,FALSE)</f>
        <v>#N/A</v>
      </c>
      <c r="D23" s="5" t="e">
        <f>IF(MAIN!$G$4="SA36",CONCATENATE(".25 X 60 X ",VLOOKUP(MAIN!$D$7,SHELLS!$AC:$AG,4,FALSE)),CONCATENATE(".25 X 60 X ",VLOOKUP(MAIN!$D$7,SHELLS!$AC:$AG,2,FALSE)))</f>
        <v>#N/A</v>
      </c>
      <c r="E23" s="5" t="e">
        <f>IF(C23&gt;0,MAIN!$G$4,)</f>
        <v>#N/A</v>
      </c>
      <c r="F23" s="5" t="e">
        <f>C23*60*IF(MAIN!$G$4="SA36",VLOOKUP(MAIN!$D$7,SHELLS!$AC:$AG,4,FALSE),VLOOKUP(MAIN!$D$7,SHELLS!$AC:$AG,2,FALSE))*IF(MAIN!$G$4="SA36",10.21,11.16)/144*IF(MAIN!$G$4="SA36",[1]Plate!$C$32,IF(MAIN!$G$4="304",[1]Plate!$I$5,[1]Plate!$O$5))</f>
        <v>#N/A</v>
      </c>
      <c r="G23" s="6"/>
    </row>
    <row r="24" spans="1:7" ht="15.75" x14ac:dyDescent="0.5">
      <c r="A24">
        <v>20</v>
      </c>
      <c r="B24" s="32" t="s">
        <v>305</v>
      </c>
      <c r="C24" s="5" t="e">
        <f>VLOOKUP(0.25,Lists!$AP$4:$AU$12,3,FALSE)</f>
        <v>#N/A</v>
      </c>
      <c r="D24" s="5" t="e">
        <f>IF(MAIN!$G$4="SA36",CONCATENATE(".25 X 60 X ",VLOOKUP(MAIN!$D$7,SHELLS!$AC:$AG,5,FALSE)),CONCATENATE(".25 X 60 X ",VLOOKUP(MAIN!$D$7,SHELLS!$AC:$AG,3,FALSE)))</f>
        <v>#N/A</v>
      </c>
      <c r="E24" s="5" t="e">
        <f>IF(C24&gt;0,MAIN!$G$4,)</f>
        <v>#N/A</v>
      </c>
      <c r="F24" s="5" t="e">
        <f>C24*60*IF(MAIN!$G$4="SA36",VLOOKUP(MAIN!$D$7,SHELLS!$AC:$AG,5,FALSE),VLOOKUP(MAIN!$D$7,SHELLS!$AC:$AG,3,FALSE))*IF(MAIN!$G$4="SA36",10.21,11.16)/144*IF(MAIN!$G$4="SA36",[1]Plate!$C$32,IF(MAIN!$G$4="304",[1]Plate!$I$5,[1]Plate!$O$5))</f>
        <v>#N/A</v>
      </c>
      <c r="G24" s="6"/>
    </row>
    <row r="25" spans="1:7" ht="15.75" x14ac:dyDescent="0.5">
      <c r="A25">
        <v>21</v>
      </c>
      <c r="B25" s="32" t="s">
        <v>306</v>
      </c>
      <c r="C25" s="5" t="e">
        <f>VLOOKUP(0.25,Lists!$AP$4:$AU$12,4,FALSE)</f>
        <v>#N/A</v>
      </c>
      <c r="D25" s="5" t="e">
        <f>IF(MAIN!$G$4="SA36",CONCATENATE(".25 X 72 X ",VLOOKUP(MAIN!$D$7,SHELLS!$AC:$AG,4,FALSE)),CONCATENATE(".25 X 72 X ",VLOOKUP(MAIN!$D$7,SHELLS!$AC:$AG,2,FALSE)))</f>
        <v>#N/A</v>
      </c>
      <c r="E25" s="5" t="e">
        <f>IF(C25&gt;0,MAIN!$G$4,)</f>
        <v>#N/A</v>
      </c>
      <c r="F25" s="5" t="e">
        <f>C25*72*IF(MAIN!$G$4="SA36",VLOOKUP(MAIN!$D$7,SHELLS!$AC:$AG,4,FALSE),VLOOKUP(MAIN!$D$7,SHELLS!$AC:$AG,2,FALSE))*IF(MAIN!$G$4="SA36",10.21,11.16)/144*IF(MAIN!$G$4="SA36",[1]Plate!$C$32,IF(MAIN!$G$4="304",SUM([1]Plate!$I$5,0.3),SUM(0.3,[1]Plate!$O$5)))</f>
        <v>#N/A</v>
      </c>
      <c r="G25" s="6"/>
    </row>
    <row r="26" spans="1:7" ht="15.75" x14ac:dyDescent="0.5">
      <c r="A26">
        <v>22</v>
      </c>
      <c r="B26" s="32" t="s">
        <v>306</v>
      </c>
      <c r="C26" s="5" t="e">
        <f>VLOOKUP(0.25,Lists!$AP$4:$AU$12,4,FALSE)</f>
        <v>#N/A</v>
      </c>
      <c r="D26" s="5" t="e">
        <f>IF(MAIN!$G$4="SA36",CONCATENATE(".25 X 72 X ",VLOOKUP(MAIN!$D$7,SHELLS!$AC:$AG,5,FALSE)),CONCATENATE(".25 X 72 X ",VLOOKUP(MAIN!$D$7,SHELLS!$AC:$AG,3,FALSE)))</f>
        <v>#N/A</v>
      </c>
      <c r="E26" s="5" t="e">
        <f>IF(C26&gt;0,MAIN!$G$4,)</f>
        <v>#N/A</v>
      </c>
      <c r="F26" s="5" t="e">
        <f>C26*72*IF(MAIN!$G$4="SA36",VLOOKUP(MAIN!$D$7,SHELLS!$AC:$AG,5,FALSE),VLOOKUP(MAIN!$D$7,SHELLS!$AC:$AG,3,FALSE))*IF(MAIN!$G$4="SA36",10.21,11.16)/144*IF(MAIN!$G$4="SA36",[1]Plate!$C$32,IF(MAIN!$G$4="304",SUM(0.3,[1]Plate!$I$5),SUM(0.3,[1]Plate!$O$5)))</f>
        <v>#N/A</v>
      </c>
      <c r="G26" s="6"/>
    </row>
    <row r="27" spans="1:7" ht="15.75" x14ac:dyDescent="0.5">
      <c r="A27">
        <v>23</v>
      </c>
      <c r="B27" s="32" t="s">
        <v>307</v>
      </c>
      <c r="C27" s="5" t="e">
        <f>VLOOKUP(0.25,Lists!$AP$4:$AU$12,5,FALSE)</f>
        <v>#N/A</v>
      </c>
      <c r="D27" s="5" t="e">
        <f>IF(MAIN!$G$4="SA36",CONCATENATE(".25 X 96 X ",VLOOKUP(MAIN!$D$7,SHELLS!$AC:$AG,4,FALSE)),CONCATENATE(".25 X 96 X ",VLOOKUP(MAIN!$D$7,SHELLS!$AC:$AG,2,FALSE)))</f>
        <v>#N/A</v>
      </c>
      <c r="E27" s="5" t="e">
        <f>IF(C27&gt;0,MAIN!$G$4,)</f>
        <v>#N/A</v>
      </c>
      <c r="F27" s="5" t="e">
        <f>C27*96*IF(MAIN!$G$4="SA36",VLOOKUP(MAIN!$D$7,SHELLS!$AC:$AG,4,FALSE),)*IF(MAIN!$G$4="SA36",10.21,11.16)/144*IF(MAIN!$G$4="SA36",[1]Plate!$C$43,)</f>
        <v>#N/A</v>
      </c>
      <c r="G27" s="6"/>
    </row>
    <row r="28" spans="1:7" ht="15.75" x14ac:dyDescent="0.5">
      <c r="A28">
        <v>24</v>
      </c>
      <c r="B28" s="32" t="s">
        <v>307</v>
      </c>
      <c r="C28" s="5" t="e">
        <f>VLOOKUP(0.25,Lists!$AP$4:$AU$12,5,FALSE)</f>
        <v>#N/A</v>
      </c>
      <c r="D28" s="5" t="e">
        <f>IF(MAIN!$G$4="SA36",CONCATENATE(".25 X 96 X ",VLOOKUP(MAIN!$D$7,SHELLS!$AC:$AG,5,FALSE)),CONCATENATE(".25 X 96 X ",VLOOKUP(MAIN!$D$7,SHELLS!$AC:$AG,3,FALSE)))</f>
        <v>#N/A</v>
      </c>
      <c r="E28" s="5" t="e">
        <f>IF(C28&gt;0,MAIN!$G$4,)</f>
        <v>#N/A</v>
      </c>
      <c r="F28" s="5" t="e">
        <f>C28*96*IF(MAIN!$G$4="SA36",VLOOKUP(MAIN!$D$7,SHELLS!$AC:$AG,5,FALSE),)*IF(MAIN!$G$4="SA36",10.21,11.16)/144*IF(MAIN!$G$4="SA36",[1]Plate!$C$43,)</f>
        <v>#N/A</v>
      </c>
      <c r="G28" s="6"/>
    </row>
    <row r="29" spans="1:7" ht="15.75" x14ac:dyDescent="0.5">
      <c r="A29">
        <v>25</v>
      </c>
      <c r="B29" s="32" t="s">
        <v>308</v>
      </c>
      <c r="C29" s="5" t="e">
        <f>VLOOKUP(0.25,Lists!$AP$4:$AU$12,6,FALSE)</f>
        <v>#N/A</v>
      </c>
      <c r="D29" s="5" t="e">
        <f>IF(MAIN!$G$4="SA36",CONCATENATE(".25 X 120 X ",VLOOKUP(MAIN!$D$7,SHELLS!$AC:$AG,4,FALSE)),CONCATENATE(".25 X 120 X ",VLOOKUP(MAIN!$D$7,SHELLS!$AC:$AG,2,FALSE)))</f>
        <v>#N/A</v>
      </c>
      <c r="E29" s="5" t="e">
        <f>IF(C29&gt;0,MAIN!$G$4,)</f>
        <v>#N/A</v>
      </c>
      <c r="F29" s="5" t="e">
        <f>C29*120*IF(MAIN!$G$4="SA36",VLOOKUP(MAIN!$D$7,SHELLS!$AC:$AG,4,FALSE),)*IF(MAIN!$G$4="SA36",10.21,11.16)/144*IF(MAIN!$G$4="SA36",[1]Plate!$C$44,)</f>
        <v>#N/A</v>
      </c>
      <c r="G29" s="6"/>
    </row>
    <row r="30" spans="1:7" ht="15.75" x14ac:dyDescent="0.5">
      <c r="A30">
        <v>26</v>
      </c>
      <c r="B30" s="32" t="s">
        <v>308</v>
      </c>
      <c r="C30" s="5" t="e">
        <f>VLOOKUP(0.25,Lists!$AP$4:$AU$12,6,FALSE)</f>
        <v>#N/A</v>
      </c>
      <c r="D30" s="5" t="e">
        <f>IF(MAIN!$G$4="SA36",CONCATENATE(".25 X 120 X ",VLOOKUP(MAIN!$D$7,SHELLS!$AC:$AG,5,FALSE)),CONCATENATE(".25 X 120 X ",VLOOKUP(MAIN!$D$7,SHELLS!$AC:$AG,3,FALSE)))</f>
        <v>#N/A</v>
      </c>
      <c r="E30" s="5" t="e">
        <f>IF(C30&gt;0,MAIN!$G$4,)</f>
        <v>#N/A</v>
      </c>
      <c r="F30" s="5" t="e">
        <f>C30*120*IF(MAIN!$G$4="SA36",VLOOKUP(MAIN!$D$7,SHELLS!$AC:$AG,5,FALSE),)*IF(MAIN!$G$4="SA36",10.21,11.16)/144*IF(MAIN!$G$4="SA36",[1]Plate!$C$44,)</f>
        <v>#N/A</v>
      </c>
      <c r="G30" s="6"/>
    </row>
    <row r="31" spans="1:7" ht="15.75" x14ac:dyDescent="0.5">
      <c r="A31">
        <v>27</v>
      </c>
      <c r="B31" s="32" t="s">
        <v>309</v>
      </c>
      <c r="C31" s="5" t="e">
        <f>VLOOKUP(0.3125,Lists!$AP$4:$AU$12,2,FALSE)</f>
        <v>#N/A</v>
      </c>
      <c r="D31" s="5" t="e">
        <f>IF(MAIN!$G$4="SA36",CONCATENATE(".3125 X 48 X ",VLOOKUP(MAIN!$D$7,SHELLS!$AC:$AG,4,FALSE)),CONCATENATE(".3125 X 48 X ",VLOOKUP(MAIN!$D$7,SHELLS!$AC:$AG,2,FALSE)))</f>
        <v>#N/A</v>
      </c>
      <c r="E31" s="5" t="e">
        <f>IF(C31&gt;0,MAIN!$G$4,)</f>
        <v>#N/A</v>
      </c>
      <c r="F31" s="5" t="e">
        <f>C31*48*IF(MAIN!$G$4="SA36",VLOOKUP(MAIN!$D$7,SHELLS!$AC:$AG,4,FALSE),VLOOKUP(MAIN!$D$7,SHELLS!$AC:$AG,2,FALSE))*IF(MAIN!$G$4="SA36",12.76,13.75)/144*IF(MAIN!$G$4="SA36",[1]Plate!$C$33,IF(MAIN!$G$4="304",[1]Plate!$I$6,[1]Plate!$O$6))</f>
        <v>#N/A</v>
      </c>
      <c r="G31" s="6"/>
    </row>
    <row r="32" spans="1:7" ht="15.75" x14ac:dyDescent="0.5">
      <c r="A32">
        <v>28</v>
      </c>
      <c r="B32" s="32" t="s">
        <v>309</v>
      </c>
      <c r="C32" s="5" t="e">
        <f>VLOOKUP(0.3125,Lists!$AP$4:$AU$12,2,FALSE)</f>
        <v>#N/A</v>
      </c>
      <c r="D32" s="5" t="e">
        <f>IF(MAIN!$G$4="SA36",CONCATENATE(".3125 X 48 X ",VLOOKUP(MAIN!$D$7,SHELLS!$AC:$AG,5,FALSE)),CONCATENATE(".3125 X 48 X ",VLOOKUP(MAIN!$D$7,SHELLS!$AC:$AG,3,FALSE)))</f>
        <v>#N/A</v>
      </c>
      <c r="E32" s="5" t="e">
        <f>IF(C32&gt;0,MAIN!$G$4,)</f>
        <v>#N/A</v>
      </c>
      <c r="F32" s="5" t="e">
        <f>C32*48*IF(MAIN!$G$4="SA36",VLOOKUP(MAIN!$D$7,SHELLS!$AC:$AG,5,FALSE),VLOOKUP(MAIN!$D$7,SHELLS!$AC:$AG,3,FALSE))*IF(MAIN!$G$4="SA36",12.76,13.75)/144*IF(MAIN!$G$4="SA36",[1]Plate!$C$33,IF(MAIN!$G$4="304",[1]Plate!$I$6,[1]Plate!$O$6))</f>
        <v>#N/A</v>
      </c>
      <c r="G32" s="6"/>
    </row>
    <row r="33" spans="1:7" ht="15.75" x14ac:dyDescent="0.5">
      <c r="A33">
        <v>29</v>
      </c>
      <c r="B33" s="32" t="s">
        <v>310</v>
      </c>
      <c r="C33" s="5" t="e">
        <f>VLOOKUP(0.3125,Lists!$AP$4:$AU$12,3,FALSE)</f>
        <v>#N/A</v>
      </c>
      <c r="D33" s="5" t="e">
        <f>IF(MAIN!$G$4="SA36",CONCATENATE(".3125 X 60 X ",VLOOKUP(MAIN!$D$7,SHELLS!$AC:$AG,4,FALSE)),CONCATENATE(".3125 X 60 X ",VLOOKUP(MAIN!$D$7,SHELLS!$AC:$AG,2,FALSE)))</f>
        <v>#N/A</v>
      </c>
      <c r="E33" s="5" t="e">
        <f>IF(C33&gt;0,MAIN!$G$4,)</f>
        <v>#N/A</v>
      </c>
      <c r="F33" s="5" t="e">
        <f>C33*60*IF(MAIN!$G$4="SA36",VLOOKUP(MAIN!$D$7,SHELLS!$AC:$AG,4,FALSE),VLOOKUP(MAIN!$D$7,SHELLS!$AC:$AG,2,FALSE))*IF(MAIN!$G$4="SA36",12.76,13.75)/144*IF(MAIN!$G$4="SA36",[1]Plate!$C$33,IF(MAIN!$G$4="304",[1]Plate!$I$6,[1]Plate!$O$6))</f>
        <v>#N/A</v>
      </c>
      <c r="G33" s="6"/>
    </row>
    <row r="34" spans="1:7" ht="15.75" x14ac:dyDescent="0.5">
      <c r="A34">
        <v>30</v>
      </c>
      <c r="B34" s="32" t="s">
        <v>310</v>
      </c>
      <c r="C34" s="5" t="e">
        <f>VLOOKUP(0.3125,Lists!$AP$4:$AU$12,3,FALSE)</f>
        <v>#N/A</v>
      </c>
      <c r="D34" s="5" t="e">
        <f>IF(MAIN!$G$4="SA36",CONCATENATE(".3125 X 60 X ",VLOOKUP(MAIN!$D$7,SHELLS!$AC:$AG,5,FALSE)),CONCATENATE(".3125 X 60 X ",VLOOKUP(MAIN!$D$7,SHELLS!$AC:$AG,3,FALSE)))</f>
        <v>#N/A</v>
      </c>
      <c r="E34" s="5" t="e">
        <f>IF(C34&gt;0,MAIN!$G$4,)</f>
        <v>#N/A</v>
      </c>
      <c r="F34" s="5" t="e">
        <f>C34*60*IF(MAIN!$G$4="SA36",VLOOKUP(MAIN!$D$7,SHELLS!$AC:$AG,5,FALSE),VLOOKUP(MAIN!$D$7,SHELLS!$AC:$AG,3,FALSE))*IF(MAIN!$G$4="SA36",12.76,13.75)/144*IF(MAIN!$G$4="SA36",[1]Plate!$C$33,IF(MAIN!$G$4="304",[1]Plate!$I$6,[1]Plate!$O$6))</f>
        <v>#N/A</v>
      </c>
      <c r="G34" s="6"/>
    </row>
    <row r="35" spans="1:7" ht="15.75" x14ac:dyDescent="0.5">
      <c r="A35">
        <v>31</v>
      </c>
      <c r="B35" s="32" t="s">
        <v>311</v>
      </c>
      <c r="C35" s="5" t="e">
        <f>VLOOKUP(0.3125,Lists!$AP$4:$AU$12,4,FALSE)</f>
        <v>#N/A</v>
      </c>
      <c r="D35" s="5" t="e">
        <f>IF(MAIN!$G$4="SA36",CONCATENATE(".3125 X 72 X ",VLOOKUP(MAIN!$D$7,SHELLS!$AC:$AG,4,FALSE)),CONCATENATE(".3125 X 72 X ",VLOOKUP(MAIN!$D$7,SHELLS!$AC:$AG,2,FALSE)))</f>
        <v>#N/A</v>
      </c>
      <c r="E35" s="5" t="e">
        <f>IF(C35&gt;0,MAIN!$G$4,)</f>
        <v>#N/A</v>
      </c>
      <c r="F35" s="5" t="e">
        <f>C35*72*IF(MAIN!$G$4="SA36",VLOOKUP(MAIN!$D$7,SHELLS!$AC:$AG,4,FALSE),VLOOKUP(MAIN!$D$7,SHELLS!$AC:$AG,2,FALSE))*IF(MAIN!$G$4="SA36",12.76,13.75)/144*IF(MAIN!$G$4="SA36",[1]Plate!$C$33,IF(MAIN!$G$4="304",SUM(0.3,[1]Plate!$I$6),SUM(0.3,[1]Plate!$O$6)))</f>
        <v>#N/A</v>
      </c>
      <c r="G35" s="6"/>
    </row>
    <row r="36" spans="1:7" ht="15.75" x14ac:dyDescent="0.5">
      <c r="A36">
        <v>32</v>
      </c>
      <c r="B36" s="32" t="s">
        <v>311</v>
      </c>
      <c r="C36" s="5" t="e">
        <f>VLOOKUP(0.3125,Lists!$AP$4:$AU$12,4,FALSE)</f>
        <v>#N/A</v>
      </c>
      <c r="D36" s="5" t="e">
        <f>IF(MAIN!$G$4="SA36",CONCATENATE(".3125 X 72 X ",VLOOKUP(MAIN!$D$7,SHELLS!$AC:$AG,5,FALSE)),CONCATENATE(".3125 X 72 X ",VLOOKUP(MAIN!$D$7,SHELLS!$AC:$AG,3,FALSE)))</f>
        <v>#N/A</v>
      </c>
      <c r="E36" s="5" t="e">
        <f>IF(C36&gt;0,MAIN!$G$4,)</f>
        <v>#N/A</v>
      </c>
      <c r="F36" s="5" t="e">
        <f>C36*72*IF(MAIN!$G$4="SA36",VLOOKUP(MAIN!$D$7,SHELLS!$AC:$AG,5,FALSE),VLOOKUP(MAIN!$D$7,SHELLS!$AC:$AG,3,FALSE))*IF(MAIN!$G$4="SA36",12.76,13.75)/144*IF(MAIN!$G$4="SA36",[1]Plate!$C$33,IF(MAIN!$G$4="304",SUM(0.3,[1]Plate!$I$6),SUM(0.3,[1]Plate!$O$6)))</f>
        <v>#N/A</v>
      </c>
      <c r="G36" s="6"/>
    </row>
    <row r="37" spans="1:7" ht="15.75" x14ac:dyDescent="0.5">
      <c r="A37">
        <v>33</v>
      </c>
      <c r="B37" s="32" t="s">
        <v>312</v>
      </c>
      <c r="C37" s="5" t="e">
        <f>VLOOKUP(0.3125,Lists!$AP$4:$AU$12,5,FALSE)</f>
        <v>#N/A</v>
      </c>
      <c r="D37" s="5" t="e">
        <f>IF(MAIN!$G$4="SA36",CONCATENATE(".3125 X 96 X ",VLOOKUP(MAIN!$D$7,SHELLS!$AC:$AG,4,FALSE)),CONCATENATE(".3125 X 96 X ",VLOOKUP(MAIN!$D$7,SHELLS!$AC:$AG,2,FALSE)))</f>
        <v>#N/A</v>
      </c>
      <c r="E37" s="5" t="e">
        <f>IF(C37&gt;0,MAIN!$G$4,)</f>
        <v>#N/A</v>
      </c>
      <c r="F37" s="5" t="e">
        <f>C37*96*IF(MAIN!$G$4="SA36",VLOOKUP(MAIN!$D$7,SHELLS!$AC:$AG,4,FALSE),)*IF(MAIN!$G$4="SA36",12.76,13.75)/144*IF(MAIN!$G$4="SA36",[1]Plate!$C$45,)</f>
        <v>#N/A</v>
      </c>
      <c r="G37" s="6"/>
    </row>
    <row r="38" spans="1:7" ht="15.75" x14ac:dyDescent="0.5">
      <c r="A38">
        <v>34</v>
      </c>
      <c r="B38" s="32" t="s">
        <v>312</v>
      </c>
      <c r="C38" s="5" t="e">
        <f>VLOOKUP(0.3125,Lists!$AP$4:$AU$12,5,FALSE)</f>
        <v>#N/A</v>
      </c>
      <c r="D38" s="5" t="e">
        <f>IF(MAIN!$G$4="SA36",CONCATENATE(".3125 X 96 X ",VLOOKUP(MAIN!$D$7,SHELLS!$AC:$AG,5,FALSE)),CONCATENATE(".3125 X 96 X ",VLOOKUP(MAIN!$D$7,SHELLS!$AC:$AG,3,FALSE)))</f>
        <v>#N/A</v>
      </c>
      <c r="E38" s="5" t="e">
        <f>IF(C38&gt;0,MAIN!$G$4,)</f>
        <v>#N/A</v>
      </c>
      <c r="F38" s="5" t="e">
        <f>C38*96*IF(MAIN!$G$4="SA36",VLOOKUP(MAIN!$D$7,SHELLS!$AC:$AG,5,FALSE),)*IF(MAIN!$G$4="SA36",12.76,13.75)/144*IF(MAIN!$G$4="SA36",[1]Plate!$C$45,)</f>
        <v>#N/A</v>
      </c>
      <c r="G38" s="6"/>
    </row>
    <row r="39" spans="1:7" ht="15.75" x14ac:dyDescent="0.5">
      <c r="A39">
        <v>35</v>
      </c>
      <c r="B39" s="32" t="s">
        <v>313</v>
      </c>
      <c r="C39" s="5" t="e">
        <f>VLOOKUP(0.3125,Lists!$AP$4:$AU$12,6,FALSE)</f>
        <v>#N/A</v>
      </c>
      <c r="D39" s="5" t="e">
        <f>IF(MAIN!$G$4="SA36",CONCATENATE(".3125 X 120 X ",VLOOKUP(MAIN!$D$7,SHELLS!$AC:$AG,4,FALSE)),CONCATENATE(".3125 X 120 X ",VLOOKUP(MAIN!$D$7,SHELLS!$AC:$AG,2,FALSE)))</f>
        <v>#N/A</v>
      </c>
      <c r="E39" s="5" t="e">
        <f>IF(C39&gt;0,MAIN!$G$4,)</f>
        <v>#N/A</v>
      </c>
      <c r="F39" s="5" t="e">
        <f>C39*120*IF(MAIN!$G$4="SA36",VLOOKUP(MAIN!$D$7,SHELLS!$AC:$AG,4,FALSE),)*IF(MAIN!$G$4="SA36",12.76,13.75)/144*IF(MAIN!$G$4="SA36",[1]Plate!$C$46,)</f>
        <v>#N/A</v>
      </c>
      <c r="G39" s="6"/>
    </row>
    <row r="40" spans="1:7" ht="15.75" x14ac:dyDescent="0.5">
      <c r="A40">
        <v>36</v>
      </c>
      <c r="B40" s="32" t="s">
        <v>313</v>
      </c>
      <c r="C40" s="5" t="e">
        <f>VLOOKUP(0.3125,Lists!$AP$4:$AU$12,6,FALSE)</f>
        <v>#N/A</v>
      </c>
      <c r="D40" s="5" t="e">
        <f>IF(MAIN!$G$4="SA36",CONCATENATE(".3125 X 120 X ",VLOOKUP(MAIN!$D$7,SHELLS!$AC:$AG,5,FALSE)),CONCATENATE(".3125 X 120 X ",VLOOKUP(MAIN!$D$7,SHELLS!$AC:$AG,3,FALSE)))</f>
        <v>#N/A</v>
      </c>
      <c r="E40" s="5" t="e">
        <f>IF(C40&gt;0,MAIN!$G$4,)</f>
        <v>#N/A</v>
      </c>
      <c r="F40" s="5" t="e">
        <f>C40*120*IF(MAIN!$G$4="SA36",VLOOKUP(MAIN!$D$7,SHELLS!$AC:$AG,5,FALSE),)*IF(MAIN!$G$4="SA36",12.76,13.75)/144*IF(MAIN!$G$4="SA36",[1]Plate!$C$46,)</f>
        <v>#N/A</v>
      </c>
      <c r="G40" s="6"/>
    </row>
    <row r="41" spans="1:7" ht="15.75" x14ac:dyDescent="0.5">
      <c r="A41">
        <v>37</v>
      </c>
      <c r="B41" s="32" t="s">
        <v>314</v>
      </c>
      <c r="C41" s="5" t="e">
        <f>VLOOKUP(0.375,Lists!$AP$4:$AU$12,2,FALSE)</f>
        <v>#N/A</v>
      </c>
      <c r="D41" s="5" t="e">
        <f>IF(MAIN!$G$4="SA36",CONCATENATE(".375 X 48 X ",VLOOKUP(MAIN!$D$7,SHELLS!$AC:$AG,4,FALSE)),CONCATENATE(".375 X 48 X ",VLOOKUP(MAIN!$D$7,SHELLS!$AC:$AG,2,FALSE)))</f>
        <v>#N/A</v>
      </c>
      <c r="E41" s="5" t="e">
        <f>IF(C41&gt;0,MAIN!$G$4,)</f>
        <v>#N/A</v>
      </c>
      <c r="F41" s="5" t="e">
        <f>C41*48*IF(MAIN!$G$4="SA36",VLOOKUP(MAIN!$D$7,SHELLS!$AC:$AG,4,FALSE),VLOOKUP(MAIN!$D$7,SHELLS!$AC:$AG,2,FALSE))*IF(MAIN!$G$4="SA36",15.32,16.5)/144*IF(MAIN!$G$4="SA36",[1]Plate!$C$34,IF(MAIN!$G$4="304",[1]Plate!$I$7,[1]Plate!$O$7))</f>
        <v>#N/A</v>
      </c>
      <c r="G41" s="6"/>
    </row>
    <row r="42" spans="1:7" ht="15.75" x14ac:dyDescent="0.5">
      <c r="A42">
        <v>38</v>
      </c>
      <c r="B42" s="32" t="s">
        <v>314</v>
      </c>
      <c r="C42" s="5" t="e">
        <f>VLOOKUP(0.375,Lists!$AP$4:$AU$12,2,FALSE)</f>
        <v>#N/A</v>
      </c>
      <c r="D42" s="5" t="e">
        <f>IF(MAIN!$G$4="SA36",CONCATENATE(".375 X 48 X ",VLOOKUP(MAIN!$D$7,SHELLS!$AC:$AG,5,FALSE)),CONCATENATE(".375 X 48 X ",VLOOKUP(MAIN!$D$7,SHELLS!$AC:$AG,3,FALSE)))</f>
        <v>#N/A</v>
      </c>
      <c r="E42" s="5" t="e">
        <f>IF(C42&gt;0,MAIN!$G$4,)</f>
        <v>#N/A</v>
      </c>
      <c r="F42" s="5" t="e">
        <f>C42*48*IF(MAIN!$G$4="SA36",VLOOKUP(MAIN!$D$7,SHELLS!$AC:$AG,5,FALSE),VLOOKUP(MAIN!$D$7,SHELLS!$AC:$AG,3,FALSE))*IF(MAIN!$G$4="SA36",15.32,16.5)/144*IF(MAIN!$G$4="SA36",[1]Plate!$C$34,IF(MAIN!$G$4="304",[1]Plate!$I$7,[1]Plate!$O$7))</f>
        <v>#N/A</v>
      </c>
      <c r="G42" s="6"/>
    </row>
    <row r="43" spans="1:7" ht="15.75" x14ac:dyDescent="0.5">
      <c r="A43">
        <v>39</v>
      </c>
      <c r="B43" s="32" t="s">
        <v>315</v>
      </c>
      <c r="C43" s="5" t="e">
        <f>VLOOKUP(0.375,Lists!$AP$4:$AU$12,3,FALSE)</f>
        <v>#N/A</v>
      </c>
      <c r="D43" s="5" t="e">
        <f>IF(MAIN!$G$4="SA36",CONCATENATE(".375 X 60 X ",VLOOKUP(MAIN!$D$7,SHELLS!$AC:$AG,4,FALSE)),CONCATENATE(".375 X 60 X ",VLOOKUP(MAIN!$D$7,SHELLS!$AC:$AG,2,FALSE)))</f>
        <v>#N/A</v>
      </c>
      <c r="E43" s="5" t="e">
        <f>IF(C43&gt;0,MAIN!$G$4,)</f>
        <v>#N/A</v>
      </c>
      <c r="F43" s="5" t="e">
        <f>C43*60*IF(MAIN!$G$4="SA36",VLOOKUP(MAIN!$D$7,SHELLS!$AC:$AG,4,FALSE),VLOOKUP(MAIN!$D$7,SHELLS!$AC:$AG,2,FALSE))*IF(MAIN!$G$4="SA36",15.32,16.5)/144*IF(MAIN!$G$4="SA36",[1]Plate!$C$34,IF(MAIN!$G$4="304",[1]Plate!$I$7,[1]Plate!$O$7))</f>
        <v>#N/A</v>
      </c>
      <c r="G43" s="6"/>
    </row>
    <row r="44" spans="1:7" ht="15.75" x14ac:dyDescent="0.5">
      <c r="A44">
        <v>40</v>
      </c>
      <c r="B44" s="32" t="s">
        <v>315</v>
      </c>
      <c r="C44" s="5" t="e">
        <f>VLOOKUP(0.375,Lists!$AP$4:$AU$12,3,FALSE)</f>
        <v>#N/A</v>
      </c>
      <c r="D44" s="5" t="e">
        <f>IF(MAIN!$G$4="SA36",CONCATENATE(".375 X 60 X ",VLOOKUP(MAIN!$D$7,SHELLS!$AC:$AG,5,FALSE)),CONCATENATE(".375 X 60 X ",VLOOKUP(MAIN!$D$7,SHELLS!$AC:$AG,3,FALSE)))</f>
        <v>#N/A</v>
      </c>
      <c r="E44" s="5" t="e">
        <f>IF(C44&gt;0,MAIN!$G$4,)</f>
        <v>#N/A</v>
      </c>
      <c r="F44" s="5" t="e">
        <f>C44*60*IF(MAIN!$G$4="SA36",VLOOKUP(MAIN!$D$7,SHELLS!$AC:$AG,5,FALSE),VLOOKUP(MAIN!$D$7,SHELLS!$AC:$AG,3,FALSE))*IF(MAIN!$G$4="SA36",15.32,16.5)/144*IF(MAIN!$G$4="SA36",[1]Plate!$C$34,IF(MAIN!$G$4="304",[1]Plate!$I$7,[1]Plate!$O$7))</f>
        <v>#N/A</v>
      </c>
      <c r="G44" s="6"/>
    </row>
    <row r="45" spans="1:7" ht="15.75" x14ac:dyDescent="0.5">
      <c r="A45">
        <v>41</v>
      </c>
      <c r="B45" s="32" t="s">
        <v>316</v>
      </c>
      <c r="C45" s="5" t="e">
        <f>VLOOKUP(0.375,Lists!$AP$4:$AU$12,4,FALSE)</f>
        <v>#N/A</v>
      </c>
      <c r="D45" s="5" t="e">
        <f>IF(MAIN!$G$4="SA36",CONCATENATE(".375 X 72 X ",VLOOKUP(MAIN!$D$7,SHELLS!$AC:$AG,4,FALSE)),CONCATENATE(".375 X 72 X ",VLOOKUP(MAIN!$D$7,SHELLS!$AC:$AG,2,FALSE)))</f>
        <v>#N/A</v>
      </c>
      <c r="E45" s="5" t="e">
        <f>IF(C45&gt;0,MAIN!$G$4,)</f>
        <v>#N/A</v>
      </c>
      <c r="F45" s="5" t="e">
        <f>C45*72*IF(MAIN!$G$4="SA36",VLOOKUP(MAIN!$D$7,SHELLS!$AC:$AG,4,FALSE),VLOOKUP(MAIN!$D$7,SHELLS!$AC:$AG,2,FALSE))*IF(MAIN!$G$4="SA36",15.32,16.5)/144*IF(MAIN!$G$4="SA36",[1]Plate!$C$34,IF(MAIN!$G$4="304",SUM(0.3,[1]Plate!$I$7),SUM(0.3,[1]Plate!$O$7)))</f>
        <v>#N/A</v>
      </c>
      <c r="G45" s="6"/>
    </row>
    <row r="46" spans="1:7" ht="15.75" x14ac:dyDescent="0.5">
      <c r="A46">
        <v>42</v>
      </c>
      <c r="B46" s="32" t="s">
        <v>316</v>
      </c>
      <c r="C46" s="5" t="e">
        <f>VLOOKUP(0.375,Lists!$AP$4:$AU$12,4,FALSE)</f>
        <v>#N/A</v>
      </c>
      <c r="D46" s="5" t="e">
        <f>IF(MAIN!$G$4="SA36",CONCATENATE(".375 X 72 X ",VLOOKUP(MAIN!$D$7,SHELLS!$AC:$AG,5,FALSE)),CONCATENATE(".375 X 72 X ",VLOOKUP(MAIN!$D$7,SHELLS!$AC:$AG,3,FALSE)))</f>
        <v>#N/A</v>
      </c>
      <c r="E46" s="5" t="e">
        <f>IF(C46&gt;0,MAIN!$G$4,)</f>
        <v>#N/A</v>
      </c>
      <c r="F46" s="5" t="e">
        <f>C46*72*IF(MAIN!$G$4="SA36",VLOOKUP(MAIN!$D$7,SHELLS!$AC:$AG,5,FALSE),VLOOKUP(MAIN!$D$7,SHELLS!$AC:$AG,3,FALSE))*IF(MAIN!$G$4="SA36",15.32,16.5)/144*IF(MAIN!$G$4="SA36",[1]Plate!$C$34,IF(MAIN!$G$4="304",SUM(0.3,[1]Plate!$I$7),SUM(0.3,[1]Plate!$O$7)))</f>
        <v>#N/A</v>
      </c>
      <c r="G46" s="6"/>
    </row>
    <row r="47" spans="1:7" ht="15.75" x14ac:dyDescent="0.5">
      <c r="A47">
        <v>43</v>
      </c>
      <c r="B47" s="32" t="s">
        <v>317</v>
      </c>
      <c r="C47" s="5" t="e">
        <f>VLOOKUP(0.375,Lists!$AP$4:$AU$12,5,FALSE)</f>
        <v>#N/A</v>
      </c>
      <c r="D47" s="5" t="e">
        <f>IF(MAIN!$G$4="SA36",CONCATENATE(".375 X 96 X ",VLOOKUP(MAIN!$D$7,SHELLS!$AC:$AG,4,FALSE)),CONCATENATE(".375 X 96 X ",VLOOKUP(MAIN!$D$7,SHELLS!$AC:$AG,2,FALSE)))</f>
        <v>#N/A</v>
      </c>
      <c r="E47" s="5" t="e">
        <f>IF(C47&gt;0,MAIN!$G$4,)</f>
        <v>#N/A</v>
      </c>
      <c r="F47" s="5" t="e">
        <f>C47*96*IF(MAIN!$G$4="SA36",VLOOKUP(MAIN!$D$7,SHELLS!$AC:$AG,4,FALSE),)*IF(MAIN!$G$4="SA36",15.32,16.5)/144*IF(MAIN!$G$4="SA36",[1]Plate!$C$47,)</f>
        <v>#N/A</v>
      </c>
      <c r="G47" s="6"/>
    </row>
    <row r="48" spans="1:7" ht="15.75" x14ac:dyDescent="0.5">
      <c r="A48">
        <v>44</v>
      </c>
      <c r="B48" s="32" t="s">
        <v>317</v>
      </c>
      <c r="C48" s="5" t="e">
        <f>VLOOKUP(0.375,Lists!$AP$4:$AU$12,5,FALSE)</f>
        <v>#N/A</v>
      </c>
      <c r="D48" s="5" t="e">
        <f>IF(MAIN!$G$4="SA36",CONCATENATE(".375 X 96 X ",VLOOKUP(MAIN!$D$7,SHELLS!$AC:$AG,5,FALSE)),CONCATENATE(".375 X 96 X ",VLOOKUP(MAIN!$D$7,SHELLS!$AC:$AG,3,FALSE)))</f>
        <v>#N/A</v>
      </c>
      <c r="E48" s="5" t="e">
        <f>IF(C48&gt;0,MAIN!$G$4,)</f>
        <v>#N/A</v>
      </c>
      <c r="F48" s="5" t="e">
        <f>C48*96*IF(MAIN!$G$4="SA36",VLOOKUP(MAIN!$D$7,SHELLS!$AC:$AG,5,FALSE),)*IF(MAIN!$G$4="SA36",15.32,16.5)/144*IF(MAIN!$G$4="SA36",[1]Plate!$C$47,)</f>
        <v>#N/A</v>
      </c>
      <c r="G48" s="6"/>
    </row>
    <row r="49" spans="1:7" ht="15.75" x14ac:dyDescent="0.5">
      <c r="A49">
        <v>45</v>
      </c>
      <c r="B49" s="32" t="s">
        <v>318</v>
      </c>
      <c r="C49" s="5" t="e">
        <f>VLOOKUP(0.375,Lists!$AP$4:$AU$12,6,FALSE)</f>
        <v>#N/A</v>
      </c>
      <c r="D49" s="5" t="e">
        <f>IF(MAIN!$G$4="SA36",CONCATENATE(".375 X 120 X ",VLOOKUP(MAIN!$D$7,SHELLS!$AC:$AG,4,FALSE)),CONCATENATE(".375 X 120 X ",VLOOKUP(MAIN!$D$7,SHELLS!$AC:$AG,2,FALSE)))</f>
        <v>#N/A</v>
      </c>
      <c r="E49" s="5" t="e">
        <f>IF(C49&gt;0,MAIN!$G$4,)</f>
        <v>#N/A</v>
      </c>
      <c r="F49" s="5" t="e">
        <f>C49*120*IF(MAIN!$G$4="SA36",VLOOKUP(MAIN!$D$7,SHELLS!$AC:$AG,4,FALSE),)*IF(MAIN!$G$4="SA36",15.32,16.5)/144*IF(MAIN!$G$4="SA36",[1]Plate!$C$48,)</f>
        <v>#N/A</v>
      </c>
      <c r="G49" s="6"/>
    </row>
    <row r="50" spans="1:7" ht="15.75" x14ac:dyDescent="0.5">
      <c r="A50">
        <v>46</v>
      </c>
      <c r="B50" s="32" t="s">
        <v>318</v>
      </c>
      <c r="C50" s="5" t="e">
        <f>VLOOKUP(0.375,Lists!$AP$4:$AU$12,6,FALSE)</f>
        <v>#N/A</v>
      </c>
      <c r="D50" s="5" t="e">
        <f>IF(MAIN!$G$4="SA36",CONCATENATE(".375 X 120 X ",VLOOKUP(MAIN!$D$7,SHELLS!$AC:$AG,5,FALSE)),CONCATENATE(".375 X 120 X ",VLOOKUP(MAIN!$D$7,SHELLS!$AC:$AG,3,FALSE)))</f>
        <v>#N/A</v>
      </c>
      <c r="E50" s="5" t="e">
        <f>IF(C50&gt;0,MAIN!$G$4,)</f>
        <v>#N/A</v>
      </c>
      <c r="F50" s="5" t="e">
        <f>C50*120*IF(MAIN!$G$4="SA36",VLOOKUP(MAIN!$D$7,SHELLS!$AC:$AG,5,FALSE),)*IF(MAIN!$G$4="SA36",15.32,16.5)/144*IF(MAIN!$G$4="SA36",[1]Plate!$C$48,)</f>
        <v>#N/A</v>
      </c>
      <c r="G50" s="6"/>
    </row>
    <row r="51" spans="1:7" ht="15.75" x14ac:dyDescent="0.5">
      <c r="A51">
        <v>47</v>
      </c>
      <c r="B51" s="32" t="s">
        <v>319</v>
      </c>
      <c r="C51" s="5" t="e">
        <f>VLOOKUP(0.5,Lists!$AP$4:$AU$12,2,FALSE)</f>
        <v>#N/A</v>
      </c>
      <c r="D51" s="5" t="e">
        <f>IF(MAIN!$G$4="SA36",CONCATENATE(".5 X 48 X ",VLOOKUP(MAIN!$D$7,SHELLS!$AC:$AG,4,FALSE)),CONCATENATE(".5 X 48 X ",VLOOKUP(MAIN!$D$7,SHELLS!$AC:$AG,2,FALSE)))</f>
        <v>#N/A</v>
      </c>
      <c r="E51" s="5" t="e">
        <f>IF(C51&gt;0,MAIN!$G$4,)</f>
        <v>#N/A</v>
      </c>
      <c r="F51" s="5" t="e">
        <f>C51*48*IF(MAIN!$G$4="SA36",VLOOKUP(MAIN!$D$7,SHELLS!$AC:$AG,4,FALSE),VLOOKUP(MAIN!$D$7,SHELLS!$AC:$AG,2,FALSE))*IF(MAIN!$G$4="SA36",20.42,21.66)/144*IF(MAIN!$G$4="SA36",[1]Plate!$C$35,IF(MAIN!$G$4="304",[1]Plate!$I$8,[1]Plate!$O$8))</f>
        <v>#N/A</v>
      </c>
      <c r="G51" s="6"/>
    </row>
    <row r="52" spans="1:7" ht="15.75" x14ac:dyDescent="0.5">
      <c r="A52">
        <v>48</v>
      </c>
      <c r="B52" s="32" t="s">
        <v>319</v>
      </c>
      <c r="C52" s="5" t="e">
        <f>VLOOKUP(0.5,Lists!$AP$4:$AU$12,2,FALSE)</f>
        <v>#N/A</v>
      </c>
      <c r="D52" s="5" t="e">
        <f>IF(MAIN!$G$4="SA36",CONCATENATE(".5 X 48 X ",VLOOKUP(MAIN!$D$7,SHELLS!$AC:$AG,5,FALSE)),CONCATENATE(".5 X 48 X ",VLOOKUP(MAIN!$D$7,SHELLS!$AC:$AG,3,FALSE)))</f>
        <v>#N/A</v>
      </c>
      <c r="E52" s="5" t="e">
        <f>IF(C52&gt;0,MAIN!$G$4,)</f>
        <v>#N/A</v>
      </c>
      <c r="F52" s="5" t="e">
        <f>C52*48*IF(MAIN!$G$4="SA36",VLOOKUP(MAIN!$D$7,SHELLS!$AC:$AG,5,FALSE),VLOOKUP(MAIN!$D$7,SHELLS!$AC:$AG,3,FALSE))*IF(MAIN!$G$4="SA36",20.42,21.66)/144*IF(MAIN!$G$4="SA36",[1]Plate!$C$35,IF(MAIN!$G$4="304",[1]Plate!$I$8,[1]Plate!$O$8))</f>
        <v>#N/A</v>
      </c>
      <c r="G52" s="6"/>
    </row>
    <row r="53" spans="1:7" ht="15.75" x14ac:dyDescent="0.5">
      <c r="A53">
        <v>49</v>
      </c>
      <c r="B53" s="32" t="s">
        <v>320</v>
      </c>
      <c r="C53" s="5" t="e">
        <f>VLOOKUP(0.5,Lists!$AP$4:$AU$12,3,FALSE)</f>
        <v>#N/A</v>
      </c>
      <c r="D53" s="5" t="e">
        <f>IF(MAIN!$G$4="SA36",CONCATENATE(".5 X 60 X ",VLOOKUP(MAIN!$D$7,SHELLS!$AC:$AG,4,FALSE)),CONCATENATE(".5 X 60 X ",VLOOKUP(MAIN!$D$7,SHELLS!$AC:$AG,2,FALSE)))</f>
        <v>#N/A</v>
      </c>
      <c r="E53" s="5" t="e">
        <f>IF(C53&gt;0,MAIN!$G$4,)</f>
        <v>#N/A</v>
      </c>
      <c r="F53" s="5" t="e">
        <f>C53*60*IF(MAIN!$G$4="SA36",VLOOKUP(MAIN!$D$7,SHELLS!$AC:$AG,4,FALSE),VLOOKUP(MAIN!$D$7,SHELLS!$AC:$AG,2,FALSE))*IF(MAIN!$G$4="SA36",20.42,21.66)/144*IF(MAIN!$G$4="SA36",[1]Plate!$C$35,IF(MAIN!$G$4="304",[1]Plate!$I$8,[1]Plate!$O$8))</f>
        <v>#N/A</v>
      </c>
      <c r="G53" s="6"/>
    </row>
    <row r="54" spans="1:7" ht="15.75" x14ac:dyDescent="0.5">
      <c r="A54">
        <v>50</v>
      </c>
      <c r="B54" s="32" t="s">
        <v>320</v>
      </c>
      <c r="C54" s="5" t="e">
        <f>VLOOKUP(0.5,Lists!$AP$4:$AU$12,3,FALSE)</f>
        <v>#N/A</v>
      </c>
      <c r="D54" s="5" t="e">
        <f>IF(MAIN!$G$4="SA36",CONCATENATE(".5 X 60 X ",VLOOKUP(MAIN!$D$7,SHELLS!$AC:$AG,5,FALSE)),CONCATENATE(".5 X 60 X ",VLOOKUP(MAIN!$D$7,SHELLS!$AC:$AG,3,FALSE)))</f>
        <v>#N/A</v>
      </c>
      <c r="E54" s="5" t="e">
        <f>IF(C54&gt;0,MAIN!$G$4,)</f>
        <v>#N/A</v>
      </c>
      <c r="F54" s="5" t="e">
        <f>C54*60*IF(MAIN!$G$4="SA36",VLOOKUP(MAIN!$D$7,SHELLS!$AC:$AG,5,FALSE),VLOOKUP(MAIN!$D$7,SHELLS!$AC:$AG,3,FALSE))*IF(MAIN!$G$4="SA36",20.42,21.66)/144*IF(MAIN!$G$4="SA36",[1]Plate!$C$35,IF(MAIN!$G$4="304",[1]Plate!$I$8,[1]Plate!$O$8))</f>
        <v>#N/A</v>
      </c>
      <c r="G54" s="6"/>
    </row>
    <row r="55" spans="1:7" ht="15.75" x14ac:dyDescent="0.5">
      <c r="A55">
        <v>51</v>
      </c>
      <c r="B55" s="32" t="s">
        <v>321</v>
      </c>
      <c r="C55" s="5" t="e">
        <f>VLOOKUP(0.5,Lists!$AP$4:$AU$12,4,FALSE)</f>
        <v>#N/A</v>
      </c>
      <c r="D55" s="5" t="e">
        <f>IF(MAIN!$G$4="SA36",CONCATENATE(".5 X 72 X ",VLOOKUP(MAIN!$D$7,SHELLS!$AC:$AG,4,FALSE)),CONCATENATE(".5 X 72 X ",VLOOKUP(MAIN!$D$7,SHELLS!$AC:$AG,2,FALSE)))</f>
        <v>#N/A</v>
      </c>
      <c r="E55" s="5" t="e">
        <f>IF(C55&gt;0,MAIN!$G$4,)</f>
        <v>#N/A</v>
      </c>
      <c r="F55" s="5" t="e">
        <f>C55*72*IF(MAIN!$G$4="SA36",VLOOKUP(MAIN!$D$7,SHELLS!$AC:$AG,4,FALSE),VLOOKUP(MAIN!$D$7,SHELLS!$AC:$AG,2,FALSE))*IF(MAIN!$G$4="SA36",20.42,21.66)/144*IF(MAIN!$G$4="SA36",[1]Plate!$C$35,IF(MAIN!$G$4="304",SUM(0.45,[1]Plate!$I$8),SUM(0.45,[1]Plate!$O$8)))</f>
        <v>#N/A</v>
      </c>
      <c r="G55" s="6"/>
    </row>
    <row r="56" spans="1:7" ht="15.75" x14ac:dyDescent="0.5">
      <c r="A56">
        <v>52</v>
      </c>
      <c r="B56" s="32" t="s">
        <v>321</v>
      </c>
      <c r="C56" s="5" t="e">
        <f>VLOOKUP(0.5,Lists!$AP$4:$AU$12,4,FALSE)</f>
        <v>#N/A</v>
      </c>
      <c r="D56" s="5" t="e">
        <f>IF(MAIN!$G$4="SA36",CONCATENATE(".5 X 72 X ",VLOOKUP(MAIN!$D$7,SHELLS!$AC:$AG,5,FALSE)),CONCATENATE(".5 X 72 X ",VLOOKUP(MAIN!$D$7,SHELLS!$AC:$AG,3,FALSE)))</f>
        <v>#N/A</v>
      </c>
      <c r="E56" s="5" t="e">
        <f>IF(C56&gt;0,MAIN!$G$4,)</f>
        <v>#N/A</v>
      </c>
      <c r="F56" s="5" t="e">
        <f>C56*72*IF(MAIN!$G$4="SA36",VLOOKUP(MAIN!$D$7,SHELLS!$AC:$AG,5,FALSE),VLOOKUP(MAIN!$D$7,SHELLS!$AC:$AG,3,FALSE))*IF(MAIN!$G$4="SA36",20.42,21.66)/144*IF(MAIN!$G$4="SA36",[1]Plate!$C$35,IF(MAIN!$G$4="304",SUM(0.45,[1]Plate!$I$8),SUM(0.45,[1]Plate!$O$8)))</f>
        <v>#N/A</v>
      </c>
      <c r="G56" s="6"/>
    </row>
    <row r="57" spans="1:7" ht="15.75" x14ac:dyDescent="0.5">
      <c r="A57">
        <v>53</v>
      </c>
      <c r="B57" s="32" t="s">
        <v>322</v>
      </c>
      <c r="C57" s="5" t="e">
        <f>VLOOKUP(0.5,Lists!$AP$4:$AU$12,5,FALSE)</f>
        <v>#N/A</v>
      </c>
      <c r="D57" s="5" t="e">
        <f>IF(MAIN!$G$4="SA36",CONCATENATE(".5 X 96 X ",VLOOKUP(MAIN!$D$7,SHELLS!$AC:$AG,4,FALSE)),CONCATENATE(".5 X 96 X ",VLOOKUP(MAIN!$D$7,SHELLS!$AC:$AG,2,FALSE)))</f>
        <v>#N/A</v>
      </c>
      <c r="E57" s="5" t="e">
        <f>IF(C57&gt;0,MAIN!$G$4,)</f>
        <v>#N/A</v>
      </c>
      <c r="F57" s="5" t="e">
        <f>C57*96*IF(MAIN!$G$4="SA36",VLOOKUP(MAIN!$D$7,SHELLS!$AC:$AG,4,FALSE),)*IF(MAIN!$G$4="SA36",20.42,21.66)/144*IF(MAIN!$G$4="SA36",[1]Plate!$C$49,)</f>
        <v>#N/A</v>
      </c>
      <c r="G57" s="6"/>
    </row>
    <row r="58" spans="1:7" ht="15.75" x14ac:dyDescent="0.5">
      <c r="A58">
        <v>54</v>
      </c>
      <c r="B58" s="32" t="s">
        <v>322</v>
      </c>
      <c r="C58" s="5" t="e">
        <f>VLOOKUP(0.5,Lists!$AP$4:$AU$12,5,FALSE)</f>
        <v>#N/A</v>
      </c>
      <c r="D58" s="5" t="e">
        <f>IF(MAIN!$G$4="SA36",CONCATENATE(".5 X 96 X ",VLOOKUP(MAIN!$D$7,SHELLS!$AC:$AG,5,FALSE)),CONCATENATE(".5 X 96 X ",VLOOKUP(MAIN!$D$7,SHELLS!$AC:$AG,3,FALSE)))</f>
        <v>#N/A</v>
      </c>
      <c r="E58" s="5" t="e">
        <f>IF(C58&gt;0,MAIN!$G$4,)</f>
        <v>#N/A</v>
      </c>
      <c r="F58" s="5" t="e">
        <f>C58*96*IF(MAIN!$G$4="SA36",VLOOKUP(MAIN!$D$7,SHELLS!$AC:$AG,5,FALSE),)*IF(MAIN!$G$4="SA36",20.42,21.66)/144*IF(MAIN!$G$4="SA36",[1]Plate!$C$49,)</f>
        <v>#N/A</v>
      </c>
      <c r="G58" s="6"/>
    </row>
    <row r="59" spans="1:7" ht="15.75" x14ac:dyDescent="0.5">
      <c r="A59">
        <v>55</v>
      </c>
      <c r="B59" s="32" t="s">
        <v>323</v>
      </c>
      <c r="C59" s="5" t="e">
        <f>VLOOKUP(0.5,Lists!$AP$4:$AU$12,6,FALSE)</f>
        <v>#N/A</v>
      </c>
      <c r="D59" s="5" t="e">
        <f>IF(MAIN!$G$4="SA36",CONCATENATE(".5 X 120 X ",VLOOKUP(MAIN!$D$7,SHELLS!$AC:$AG,4,FALSE)),CONCATENATE(".5 X 120 X ",VLOOKUP(MAIN!$D$7,SHELLS!$AC:$AG,2,FALSE)))</f>
        <v>#N/A</v>
      </c>
      <c r="E59" s="5" t="e">
        <f>IF(C59&gt;0,MAIN!$G$4,)</f>
        <v>#N/A</v>
      </c>
      <c r="F59" s="5" t="e">
        <f>C59*120*IF(MAIN!$G$4="SA36",VLOOKUP(MAIN!$D$7,SHELLS!$AC:$AG,4,FALSE),)*IF(MAIN!$G$4="SA36",20.42,21.66)/144*IF(MAIN!$G$4="SA36",[1]Plate!$C$50,)</f>
        <v>#N/A</v>
      </c>
      <c r="G59" s="6"/>
    </row>
    <row r="60" spans="1:7" ht="15.75" x14ac:dyDescent="0.5">
      <c r="A60">
        <v>56</v>
      </c>
      <c r="B60" s="32" t="s">
        <v>323</v>
      </c>
      <c r="C60" s="5" t="e">
        <f>VLOOKUP(0.5,Lists!$AP$4:$AU$12,6,FALSE)</f>
        <v>#N/A</v>
      </c>
      <c r="D60" s="5" t="e">
        <f>IF(MAIN!$G$4="SA36",CONCATENATE(".5 X 120 X ",VLOOKUP(MAIN!$D$7,SHELLS!$AC:$AG,5,FALSE)),CONCATENATE(".5 X 120 X ",VLOOKUP(MAIN!$D$7,SHELLS!$AC:$AG,3,FALSE)))</f>
        <v>#N/A</v>
      </c>
      <c r="E60" s="5" t="e">
        <f>IF(C60&gt;0,MAIN!$G$4,)</f>
        <v>#N/A</v>
      </c>
      <c r="F60" s="5" t="e">
        <f>C60*120*IF(MAIN!$G$4="SA36",VLOOKUP(MAIN!$D$7,SHELLS!$AC:$AG,5,FALSE),)*IF(MAIN!$G$4="SA36",20.42,21.66)/144*IF(MAIN!$G$4="SA36",[1]Plate!$C$50,)</f>
        <v>#N/A</v>
      </c>
      <c r="G60" s="6"/>
    </row>
    <row r="61" spans="1:7" ht="15.75" x14ac:dyDescent="0.5">
      <c r="A61">
        <v>57</v>
      </c>
      <c r="B61" s="32" t="s">
        <v>46</v>
      </c>
      <c r="C61" s="5" t="str">
        <f>IF(MAIN!$L$4&lt;&gt;"",1," ")</f>
        <v xml:space="preserve"> </v>
      </c>
      <c r="D61" s="5">
        <f>IF(C61=1,CONCATENATE(MAIN!L4,Lists!$C$2,Lists!$C$1,VLOOKUP(MAIN!$D$7,'top-bottom sizes'!B:F,2,FALSE)),)</f>
        <v>0</v>
      </c>
      <c r="E61" s="5">
        <f>IF(C61=1,MAIN!$G$4,)</f>
        <v>0</v>
      </c>
      <c r="F61" s="5">
        <f>IF(C61=1,VLOOKUP(MAIN!$D$7,'top-bottom sizes'!B:T,12,FALSE)*VLOOKUP(MAIN!$D$7,'top-bottom sizes'!B:T,13,FALSE)*Lists!$X$29/144*VLOOKUP(MAIN!$O$3,IF(MAIN!$G$4="SA36",[1]Plate!$A$31:$C$39,IF(MAIN!$G$4="304",[1]Plate!$G$4:$I$11,[1]Plate!$M$4:$O$11)),3,FALSE),)</f>
        <v>0</v>
      </c>
      <c r="G61" s="6">
        <f>IF(C61=1,VLOOKUP(MAIN!$D$7,'top-bottom sizes'!B:K,9,FALSE),)</f>
        <v>0</v>
      </c>
    </row>
    <row r="62" spans="1:7" ht="15.75" x14ac:dyDescent="0.5">
      <c r="A62">
        <v>58</v>
      </c>
      <c r="B62" s="32"/>
      <c r="C62" s="5" t="str">
        <f>IF(MAIN!$L$4&lt;&gt;"",1," ")</f>
        <v xml:space="preserve"> </v>
      </c>
      <c r="D62" s="5">
        <f>IF(C62=1,CONCATENATE(MAIN!$L$4,Lists!$C$2,Lists!$C$1,VLOOKUP(MAIN!$D$7,'top-bottom sizes'!B:F,3,FALSE)),)</f>
        <v>0</v>
      </c>
      <c r="E62" s="5">
        <f>IF(C62=1,MAIN!$G$4,)</f>
        <v>0</v>
      </c>
      <c r="F62" s="5">
        <f>IF(C62=1,VLOOKUP(MAIN!$D$7,'top-bottom sizes'!B:T,14,FALSE)*VLOOKUP(MAIN!$D$7,'top-bottom sizes'!B:T,15,FALSE)*Lists!$X$29/144*VLOOKUP(MAIN!$O$3,IF(MAIN!$G$4="SA36",[1]Plate!$A$31:$C$39,IF(MAIN!$G$4="304",[1]Plate!$G$4:$I$11,[1]Plate!$M$4:$O$11)),3,FALSE),)</f>
        <v>0</v>
      </c>
      <c r="G62" s="6" t="s">
        <v>232</v>
      </c>
    </row>
    <row r="63" spans="1:7" ht="15.75" x14ac:dyDescent="0.5">
      <c r="A63">
        <v>59</v>
      </c>
      <c r="B63" s="32" t="s">
        <v>47</v>
      </c>
      <c r="C63" s="38" t="b">
        <f>IF(MAIN!Q6="YES",ROUNDUP(MAIN!D8/120,0)+IF(MAIN!D8&lt;121,0,-1))</f>
        <v>0</v>
      </c>
      <c r="D63" s="5" t="e" cm="1">
        <f t="array" ref="D63">CONCATENATE("1/4"," X ",VLOOKUP(MAIN!D7,SHELLS!AI:AO,_xlfn.IFS(MAIN!Q7=2,2,MAIN!Q7=3,4,MAIN!Q7=4,6),FALSE)," X ",VLOOKUP(MAIN!D7,SHELLS!AI:AO,_xlfn.IFS(MAIN!Q7=2,3,MAIN!Q7=3,5,MAIN!Q7=4,7),FALSE))</f>
        <v>#N/A</v>
      </c>
      <c r="E63" s="5" t="e" cm="1">
        <f t="array" ref="E63">_xlfn.IFS(MAIN!$G$4="SA36","sa36",MAIN!$G$4=304,304,MAIN!$G$4=316,304)</f>
        <v>#N/A</v>
      </c>
      <c r="F63" s="5" t="e" cm="1">
        <f t="array" ref="F63">C63*VLOOKUP(MAIN!D7,SHELLS!AI:AO,_xlfn.IFS(MAIN!Q7=2,2,MAIN!Q7=3,4,MAIN!Q7=4,6),FALSE)*VLOOKUP(MAIN!D7,SHELLS!AI:AO,_xlfn.IFS(MAIN!Q7=2,3,MAIN!Q7=3,5,MAIN!Q7=4,7),FALSE)*IF(E63=304,11.16,10.21)/144*IF(E63=304,[1]Plate!$I$5,[1]Plate!$C$32)</f>
        <v>#N/A</v>
      </c>
      <c r="G63" s="6" t="e">
        <f>C63*VLOOKUP(MAIN!D7,SHELLS!AI:AP,8)</f>
        <v>#N/A</v>
      </c>
    </row>
    <row r="64" spans="1:7" ht="15.75" x14ac:dyDescent="0.5">
      <c r="A64">
        <v>60</v>
      </c>
      <c r="B64" s="32" t="s">
        <v>406</v>
      </c>
      <c r="C64" s="38">
        <f>IF(MAIN!C4&lt;&gt;"",1,)</f>
        <v>0</v>
      </c>
      <c r="D64" s="5" t="s">
        <v>387</v>
      </c>
      <c r="E64" s="5" t="e" cm="1">
        <f t="array" ref="E64">_xlfn.IFS(MAIN!$G$4="SA36","sa36",MAIN!$G$4=304,304,MAIN!$G$4=316,304)</f>
        <v>#N/A</v>
      </c>
      <c r="F64" s="5">
        <f>C64*30</f>
        <v>0</v>
      </c>
      <c r="G64" s="6">
        <f>C64*1</f>
        <v>0</v>
      </c>
    </row>
    <row r="65" spans="1:7" ht="15.75" x14ac:dyDescent="0.5">
      <c r="A65">
        <v>61</v>
      </c>
      <c r="B65" s="32" t="s">
        <v>407</v>
      </c>
      <c r="C65" s="38">
        <f>MAIN!T6</f>
        <v>0</v>
      </c>
      <c r="D65" s="5" t="s">
        <v>408</v>
      </c>
      <c r="E65" s="5" t="e" cm="1">
        <f t="array" ref="E65">_xlfn.IFS(MAIN!$G$4="SA36","sa36",MAIN!$G$4=304,304,MAIN!$G$4=316,304)</f>
        <v>#N/A</v>
      </c>
      <c r="F65" s="38">
        <f>6*6*IF(MAIN!G4="sa36",20.42,21.66)/144*IF(MAIN!G4="SA36",[1]Plate!$C$35,[1]Plate!$I$8)*C65</f>
        <v>0</v>
      </c>
      <c r="G65" s="6">
        <f>C65*1</f>
        <v>0</v>
      </c>
    </row>
    <row r="66" spans="1:7" ht="15.75" x14ac:dyDescent="0.5">
      <c r="A66">
        <v>62</v>
      </c>
      <c r="B66" s="32" t="s">
        <v>48</v>
      </c>
      <c r="C66" s="5">
        <f>MAIN!Q10</f>
        <v>0</v>
      </c>
      <c r="D66" s="5" t="str">
        <f>CONCATENATE(MAIN!R11," X 9 X 14")</f>
        <v xml:space="preserve"> X 9 X 14</v>
      </c>
      <c r="E66" s="5" t="e" cm="1">
        <f t="array" ref="E66">_xlfn.IFS(MAIN!$G$4="SA36","sa36",MAIN!$G$4=304,304,MAIN!$G$4=316,304)</f>
        <v>#N/A</v>
      </c>
      <c r="F66" s="5" t="e">
        <f>$C66*9*14*VLOOKUP(MAIN!$R11,Lists!$W$5:$Y$14,IF(MAIN!$G$4="SA36",3,2),FALSE)/144*VLOOKUP(MAIN!$R11,IF(PRODUCT!$E66="SA36",[1]Plate!$A$31:$C$39,[1]Plate!$G$4:$I$11),3,FALSE)*IF(MAIN!R11&gt;0.5,2,1)</f>
        <v>#N/A</v>
      </c>
      <c r="G66" s="6">
        <f>C66*4</f>
        <v>0</v>
      </c>
    </row>
    <row r="67" spans="1:7" ht="15.75" x14ac:dyDescent="0.5">
      <c r="A67">
        <v>63</v>
      </c>
      <c r="B67" s="32" t="s">
        <v>48</v>
      </c>
      <c r="C67" s="5">
        <f>MAIN!Q10*2</f>
        <v>0</v>
      </c>
      <c r="D67" s="5" t="str">
        <f>CONCATENATE(MAIN!R12," X 10 X 18")</f>
        <v xml:space="preserve"> X 10 X 18</v>
      </c>
      <c r="E67" s="5" t="e" cm="1">
        <f t="array" ref="E67">_xlfn.IFS(MAIN!$G$4="SA36","sa36",MAIN!$G$4=304,304,MAIN!$G$4=316,304)</f>
        <v>#N/A</v>
      </c>
      <c r="F67" s="5" t="e">
        <f>$C67*10*18*VLOOKUP(MAIN!$R12,Lists!$W$5:$Y$14,IF(MAIN!$G$4="SA36",3,2),FALSE)/144*VLOOKUP(MAIN!$R12,IF(PRODUCT!$E67="SA36",[1]Plate!$A$31:$C$39,[1]Plate!$G$4:$I$11),3,FALSE)*IF(MAIN!R12&gt;0.5,2,1)</f>
        <v>#N/A</v>
      </c>
      <c r="G67" s="6" t="s">
        <v>232</v>
      </c>
    </row>
    <row r="68" spans="1:7" ht="15.75" x14ac:dyDescent="0.5">
      <c r="A68">
        <v>64</v>
      </c>
      <c r="B68" s="32" t="s">
        <v>56</v>
      </c>
      <c r="C68" s="5">
        <f>MAIN!F10</f>
        <v>0</v>
      </c>
      <c r="D68" s="5" t="str">
        <f>CONCATENATE(".25 X ",MAIN!G9," X ",Lists!H30,"            MF: (1) ",Lists!F30," X ",Lists!H30)</f>
        <v>.25 X  X 120            MF: (1) 48 X 120</v>
      </c>
      <c r="E68" s="5">
        <f>MAIN!G4</f>
        <v>0</v>
      </c>
      <c r="F68" s="5" cm="1">
        <f t="array" ref="F68">IF(MAIN!D9="yes",Lists!F30*Lists!H30*IF(MAIN!G4="SA36",10.21,11.16)/144*_xlfn.IFS(MAIN!G4="SA36",[1]Plate!$C$32,MAIN!G4=304,[1]Plate!$I$5,MAIN!G4=316,[1]Plate!$O$5),)</f>
        <v>0</v>
      </c>
      <c r="G68" s="6" t="e">
        <f>VLOOKUP(MAIN!I9,SHELLS!BK:BL,2,FALSE)*C68</f>
        <v>#N/A</v>
      </c>
    </row>
    <row r="69" spans="1:7" ht="15.75" x14ac:dyDescent="0.5">
      <c r="A69">
        <v>65</v>
      </c>
      <c r="B69" s="32" t="s">
        <v>57</v>
      </c>
      <c r="C69" s="5">
        <f>MROUND(C68*MAIN!I9/48,C68)</f>
        <v>0</v>
      </c>
      <c r="D69" s="5" t="str">
        <f>CONCATENATE(".25 X 2 X 24")</f>
        <v>.25 X 2 X 24</v>
      </c>
      <c r="E69" s="5">
        <f>MAIN!G$4</f>
        <v>0</v>
      </c>
      <c r="F69" s="5">
        <f>IF(MAIN!D9="yes",0.01,)</f>
        <v>0</v>
      </c>
      <c r="G69" s="6" t="e">
        <f>VLOOKUP(MAIN!I9,SHELLS!BK:BM,3,FALSE)*C68</f>
        <v>#N/A</v>
      </c>
    </row>
    <row r="70" spans="1:7" ht="15.75" x14ac:dyDescent="0.5">
      <c r="A70">
        <v>66</v>
      </c>
      <c r="B70" s="32" t="s">
        <v>101</v>
      </c>
      <c r="C70" s="5">
        <f>MAIN!K17</f>
        <v>0</v>
      </c>
      <c r="D70" s="5" t="s">
        <v>361</v>
      </c>
      <c r="E70" s="5" t="e" cm="1">
        <f t="array" ref="E70">_xlfn.IFS(MAIN!$G$4="sa36",[1]master!$AK$184,MAIN!G4=304,[1]master!$BJ$185,MAIN!G4=316,[1]master!$CJ$184)</f>
        <v>#N/A</v>
      </c>
      <c r="F70" s="5" t="e">
        <f>VLOOKUP(D70,_xlfn.IFS(MAIN!$G$4="sa36",[1]master!$AJ$182:$AL$191,MAIN!$G$4=304,[1]master!$BI$182:$BK$191,MAIN!$G$4=316,[1]master!$CI$182:$CK$191),3,FALSE)*C70</f>
        <v>#N/A</v>
      </c>
      <c r="G70" s="70" t="e">
        <f>VLOOKUP(MAIN!$O$3,Nozzles!$A:$P,2,FALSE)*C70</f>
        <v>#N/A</v>
      </c>
    </row>
    <row r="71" spans="1:7" ht="15.75" x14ac:dyDescent="0.5">
      <c r="A71">
        <v>67</v>
      </c>
      <c r="B71" s="32" t="s">
        <v>101</v>
      </c>
      <c r="C71" s="5">
        <f>MAIN!K18</f>
        <v>0</v>
      </c>
      <c r="D71" s="5" t="s">
        <v>362</v>
      </c>
      <c r="E71" s="5" t="e" cm="1">
        <f t="array" ref="E71">_xlfn.IFS(MAIN!$G$4="sa36",[1]master!$AK$184,MAIN!G$4=304,[1]master!$BJ$185,MAIN!$G$4=316,[1]master!$CJ$184)</f>
        <v>#N/A</v>
      </c>
      <c r="F71" s="5" t="e">
        <f>VLOOKUP(D71,_xlfn.IFS(MAIN!$G$4="sa36",[1]master!$AJ$182:$AL$191,MAIN!$G$4=304,[1]master!$BI$182:$BK$191,MAIN!$G$4=316,[1]master!$CI$182:$CK$191),3,FALSE)*C71</f>
        <v>#N/A</v>
      </c>
      <c r="G71" s="70" t="e">
        <f>VLOOKUP(MAIN!$O$3,Nozzles!$A:$P,2,FALSE)*C71</f>
        <v>#N/A</v>
      </c>
    </row>
    <row r="72" spans="1:7" ht="15.75" x14ac:dyDescent="0.5">
      <c r="A72">
        <v>68</v>
      </c>
      <c r="B72" s="32" t="s">
        <v>101</v>
      </c>
      <c r="C72" s="5">
        <f>MAIN!K19</f>
        <v>0</v>
      </c>
      <c r="D72" s="5" t="s">
        <v>363</v>
      </c>
      <c r="E72" s="5" t="e" cm="1">
        <f t="array" ref="E72">_xlfn.IFS(MAIN!$G$4="sa36",[1]master!$AK$184,MAIN!G$4=304,[1]master!$BJ$185,MAIN!$G$4=316,[1]master!$CJ$184)</f>
        <v>#N/A</v>
      </c>
      <c r="F72" s="5" t="e">
        <f>VLOOKUP(D72,_xlfn.IFS(MAIN!$G$4="sa36",[1]master!$AJ$182:$AL$191,MAIN!$G$4=304,[1]master!$BI$182:$BK$191,MAIN!$G$4=316,[1]master!$CI$182:$CK$191),3,FALSE)*C72</f>
        <v>#N/A</v>
      </c>
      <c r="G72" s="70" t="e">
        <f>VLOOKUP(MAIN!$O$3,Nozzles!$A:$P,2,FALSE)*C72</f>
        <v>#N/A</v>
      </c>
    </row>
    <row r="73" spans="1:7" ht="15.75" x14ac:dyDescent="0.5">
      <c r="A73">
        <v>69</v>
      </c>
      <c r="B73" s="32" t="s">
        <v>101</v>
      </c>
      <c r="C73" s="5">
        <f>MAIN!K20</f>
        <v>0</v>
      </c>
      <c r="D73" s="5" t="s">
        <v>364</v>
      </c>
      <c r="E73" s="5" t="e" cm="1">
        <f t="array" ref="E73">_xlfn.IFS(MAIN!$G$4="sa36",[1]master!$AK$184,MAIN!G$4=304,[1]master!$BJ$185,MAIN!$G$4=316,[1]master!$CJ$184)</f>
        <v>#N/A</v>
      </c>
      <c r="F73" s="5" t="e">
        <f>VLOOKUP(D73,_xlfn.IFS(MAIN!$G$4="sa36",[1]master!$AJ$182:$AL$191,MAIN!$G$4=304,[1]master!$BI$182:$BK$191,MAIN!$G$4=316,[1]master!$CI$182:$CK$191),3,FALSE)*C73</f>
        <v>#N/A</v>
      </c>
      <c r="G73" s="70" t="e">
        <f>VLOOKUP(MAIN!$O$3,Nozzles!$A:$P,2,FALSE)*C73</f>
        <v>#N/A</v>
      </c>
    </row>
    <row r="74" spans="1:7" ht="15.75" x14ac:dyDescent="0.5">
      <c r="A74">
        <v>70</v>
      </c>
      <c r="B74" s="32" t="s">
        <v>101</v>
      </c>
      <c r="C74" s="5">
        <f>MAIN!K21</f>
        <v>0</v>
      </c>
      <c r="D74" s="5" t="s">
        <v>365</v>
      </c>
      <c r="E74" s="5" t="e" cm="1">
        <f t="array" ref="E74">_xlfn.IFS(MAIN!$G$4="sa36",[1]master!$AK$184,MAIN!G$4=304,[1]master!$BJ$185,MAIN!$G$4=316,[1]master!$CJ$184)</f>
        <v>#N/A</v>
      </c>
      <c r="F74" s="5" t="e">
        <f>VLOOKUP(D74,_xlfn.IFS(MAIN!$G$4="sa36",[1]master!$AJ$182:$AL$191,MAIN!$G$4=304,[1]master!$BI$182:$BK$191,MAIN!$G$4=316,[1]master!$CI$182:$CK$191),3,FALSE)*C74</f>
        <v>#N/A</v>
      </c>
      <c r="G74" s="70" t="e">
        <f>VLOOKUP(MAIN!$O$3,Nozzles!$A:$P,2,FALSE)*C74</f>
        <v>#N/A</v>
      </c>
    </row>
    <row r="75" spans="1:7" ht="15.75" x14ac:dyDescent="0.5">
      <c r="A75">
        <v>71</v>
      </c>
      <c r="B75" s="32" t="s">
        <v>101</v>
      </c>
      <c r="C75" s="5">
        <f>MAIN!K22</f>
        <v>0</v>
      </c>
      <c r="D75" s="5" t="s">
        <v>366</v>
      </c>
      <c r="E75" s="5" t="e" cm="1">
        <f t="array" ref="E75">_xlfn.IFS(MAIN!$G$4="sa36",[1]master!$AK$184,MAIN!G$4=304,[1]master!$BJ$185,MAIN!$G$4=316,[1]master!$CJ$184)</f>
        <v>#N/A</v>
      </c>
      <c r="F75" s="5" t="e">
        <f>VLOOKUP(D75,_xlfn.IFS(MAIN!$G$4="sa36",[1]master!$AJ$182:$AL$191,MAIN!$G$4=304,[1]master!$BI$182:$BK$191,MAIN!$G$4=316,[1]master!$CI$182:$CK$191),3,FALSE)*C75</f>
        <v>#N/A</v>
      </c>
      <c r="G75" s="70" t="e">
        <f>VLOOKUP(MAIN!$O$3,Nozzles!$A:$P,2,FALSE)*C75</f>
        <v>#N/A</v>
      </c>
    </row>
    <row r="76" spans="1:7" ht="15.75" x14ac:dyDescent="0.5">
      <c r="A76">
        <v>72</v>
      </c>
      <c r="B76" s="32" t="s">
        <v>101</v>
      </c>
      <c r="C76" s="5">
        <f>MAIN!K23</f>
        <v>0</v>
      </c>
      <c r="D76" s="5" t="s">
        <v>367</v>
      </c>
      <c r="E76" s="5" t="e" cm="1">
        <f t="array" ref="E76">_xlfn.IFS(MAIN!$G$4="sa36",[1]master!$AK$184,MAIN!G$4=304,[1]master!$BJ$185,MAIN!$G$4=316,[1]master!$CJ$184)</f>
        <v>#N/A</v>
      </c>
      <c r="F76" s="5" t="e">
        <f>VLOOKUP(D76,_xlfn.IFS(MAIN!$G$4="sa36",[1]master!$AJ$182:$AL$191,MAIN!$G$4=304,[1]master!$BI$182:$BK$191,MAIN!$G$4=316,[1]master!$CI$182:$CK$191),3,FALSE)*C76</f>
        <v>#N/A</v>
      </c>
      <c r="G76" s="70" t="e">
        <f>VLOOKUP(MAIN!$O$3,Nozzles!$A:$P,2,FALSE)*C76</f>
        <v>#N/A</v>
      </c>
    </row>
    <row r="77" spans="1:7" ht="15.75" x14ac:dyDescent="0.5">
      <c r="A77">
        <v>73</v>
      </c>
      <c r="B77" s="32" t="s">
        <v>101</v>
      </c>
      <c r="C77" s="5">
        <f>MAIN!K24</f>
        <v>0</v>
      </c>
      <c r="D77" s="5" t="s">
        <v>368</v>
      </c>
      <c r="E77" s="5" t="e" cm="1">
        <f t="array" ref="E77">_xlfn.IFS(MAIN!$G$4="sa36",[1]master!$AK$184,MAIN!G$4=304,[1]master!$BJ$185,MAIN!$G$4=316,[1]master!$CJ$184)</f>
        <v>#N/A</v>
      </c>
      <c r="F77" s="5" t="e">
        <f>VLOOKUP(D77,_xlfn.IFS(MAIN!$G$4="sa36",[1]master!$AJ$182:$AL$191,MAIN!$G$4=304,[1]master!$BI$182:$BK$191,MAIN!$G$4=316,[1]master!$CI$182:$CK$191),3,FALSE)*C77</f>
        <v>#N/A</v>
      </c>
      <c r="G77" s="70" t="e">
        <f>VLOOKUP(MAIN!$O$3,Nozzles!$A:$P,2,FALSE)*C77</f>
        <v>#N/A</v>
      </c>
    </row>
    <row r="78" spans="1:7" ht="15.75" x14ac:dyDescent="0.5">
      <c r="A78">
        <v>74</v>
      </c>
      <c r="B78" s="32" t="s">
        <v>101</v>
      </c>
      <c r="C78" s="5">
        <f>MAIN!K25</f>
        <v>0</v>
      </c>
      <c r="D78" s="5" t="s">
        <v>369</v>
      </c>
      <c r="E78" s="5" t="e" cm="1">
        <f t="array" ref="E78">_xlfn.IFS(MAIN!$G$4="sa36",[1]master!$AK$184,MAIN!G$4=304,[1]master!$BJ$185,MAIN!$G$4=316,[1]master!$CJ$184)</f>
        <v>#N/A</v>
      </c>
      <c r="F78" s="5" t="e">
        <f>VLOOKUP(D78,_xlfn.IFS(MAIN!$G$4="sa36",[1]master!$AJ$182:$AL$191,MAIN!$G$4=304,[1]master!$BI$182:$BK$191,MAIN!$G$4=316,[1]master!$CI$182:$CK$191),3,FALSE)*C78</f>
        <v>#N/A</v>
      </c>
      <c r="G78" s="70" t="e">
        <f>VLOOKUP(MAIN!$O$3,Nozzles!$A:$P,2,FALSE)*C78</f>
        <v>#N/A</v>
      </c>
    </row>
    <row r="79" spans="1:7" ht="15.75" x14ac:dyDescent="0.5">
      <c r="A79">
        <v>75</v>
      </c>
      <c r="B79" s="32" t="s">
        <v>101</v>
      </c>
      <c r="C79" s="5">
        <f>MAIN!K26</f>
        <v>0</v>
      </c>
      <c r="D79" s="5" t="s">
        <v>370</v>
      </c>
      <c r="E79" s="5" t="e" cm="1">
        <f t="array" ref="E79">_xlfn.IFS(MAIN!$G$4="sa36",[1]master!$AK$184,MAIN!G$4=304,[1]master!$BJ$185,MAIN!$G$4=316,[1]master!$CJ$184)</f>
        <v>#N/A</v>
      </c>
      <c r="F79" s="5" t="e">
        <f>VLOOKUP(D79,_xlfn.IFS(MAIN!$G$4="sa36",[1]master!$AJ$182:$AL$191,MAIN!$G$4=304,[1]master!$BI$182:$BK$191,MAIN!$G$4=316,[1]master!$CI$182:$CK$191),3,FALSE)*C79</f>
        <v>#N/A</v>
      </c>
      <c r="G79" s="70" t="e">
        <f>VLOOKUP(MAIN!$O$3,Nozzles!$A:$P,5,FALSE)*C79</f>
        <v>#N/A</v>
      </c>
    </row>
    <row r="80" spans="1:7" ht="15.75" x14ac:dyDescent="0.5">
      <c r="A80">
        <v>76</v>
      </c>
      <c r="B80" s="32" t="s">
        <v>102</v>
      </c>
      <c r="C80" s="5">
        <f>MAIN!N17</f>
        <v>0</v>
      </c>
      <c r="D80" s="5" t="str">
        <f>CONCATENATE(MAIN!O17," ",MAIN!P17," X 1'")</f>
        <v xml:space="preserve">  X 1'</v>
      </c>
      <c r="E80" s="5" t="e" cm="1">
        <f t="array" ref="E80">_xlfn.IFS(MAIN!$G$4="sa36",[1]master!$AB$96,MAIN!G$4=304,[1]master!$BA$96,MAIN!$G$4=316,[1]master!$CA$94)</f>
        <v>#N/A</v>
      </c>
      <c r="F80" s="5" t="e" cm="1">
        <f t="array" ref="F80">C80*IF(MAIN!$O17&gt;13,VLOOKUP(MAIN!$O17,Nozzles!$A$11:$F$16,_xlfn.IFS(MAIN!$O$5=0.1875,2,MAIN!$O$5=0.25,3,MAIN!$O$5=0.3125,4,MAIN!$O$5=0.375,5,MAIN!$O$5=0.5,6),FALSE),VLOOKUP(MAIN!$O17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</f>
        <v>#N/A</v>
      </c>
      <c r="G80" s="6" t="e" cm="1">
        <f t="array" ref="G80">$C80*VLOOKUP(MAIN!$O$5,Nozzles!$A$2:$P$6,_xlfn.IFS(MAIN!$O17=0.5,2,MAIN!$O17=1,2,MAIN!$O17=1.5,3,MAIN!$O17=2,3,MAIN!$O17=3,4,MAIN!$O17=4,5,MAIN!$O17=5,6,MAIN!$O17=6,7,MAIN!$O17=8,8,MAIN!$O17=10,9,MAIN!$O17=12,10,MAIN!$O17=14,11,MAIN!$O17=16,12,MAIN!$O17=18,13,MAIN!$O17=20,14,MAIN!$O17=24,15,MAIN!$O17=30,16),FALSE)</f>
        <v>#N/A</v>
      </c>
    </row>
    <row r="81" spans="1:7" ht="15.75" x14ac:dyDescent="0.5">
      <c r="A81">
        <v>77</v>
      </c>
      <c r="B81" s="32" t="s">
        <v>102</v>
      </c>
      <c r="C81" s="5">
        <f>MAIN!N18</f>
        <v>0</v>
      </c>
      <c r="D81" s="5" t="str">
        <f>CONCATENATE(MAIN!O18," ",MAIN!P18," X 1'")</f>
        <v xml:space="preserve">  X 1'</v>
      </c>
      <c r="E81" s="5" t="e" cm="1">
        <f t="array" ref="E81">_xlfn.IFS(MAIN!$G$4="sa36",[1]master!$AB$96,MAIN!G$4=304,[1]master!$BA$96,MAIN!$G$4=316,[1]master!$CA$94)</f>
        <v>#N/A</v>
      </c>
      <c r="F81" s="5" t="e" cm="1">
        <f t="array" ref="F81">C81*IF(MAIN!$O18&gt;13,VLOOKUP(MAIN!$O18,Nozzles!$A$11:$F$16,_xlfn.IFS(MAIN!$O$5=0.1875,2,MAIN!$O$5=0.25,3,MAIN!$O$5=0.3125,4,MAIN!$O$5=0.375,5,MAIN!$O$5=0.5,6),FALSE),VLOOKUP(MAIN!$O18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</f>
        <v>#N/A</v>
      </c>
      <c r="G81" s="6" t="e" cm="1">
        <f t="array" ref="G81">$C81*VLOOKUP(MAIN!$O$5,Nozzles!$A$2:$P$6,_xlfn.IFS(MAIN!$O18=0.5,2,MAIN!$O18=1,2,MAIN!$O18=1.5,3,MAIN!$O18=2,3,MAIN!$O18=3,4,MAIN!$O18=4,5,MAIN!$O18=5,6,MAIN!$O18=6,7,MAIN!$O18=8,8,MAIN!$O18=10,9,MAIN!$O18=12,10,MAIN!$O18=14,11,MAIN!$O18=16,12,MAIN!$O18=18,13,MAIN!$O18=20,14,MAIN!$O18=24,15,MAIN!$O18=30,16),FALSE)</f>
        <v>#N/A</v>
      </c>
    </row>
    <row r="82" spans="1:7" ht="15.75" x14ac:dyDescent="0.5">
      <c r="A82">
        <v>78</v>
      </c>
      <c r="B82" s="32" t="s">
        <v>102</v>
      </c>
      <c r="C82" s="5">
        <f>MAIN!N19</f>
        <v>0</v>
      </c>
      <c r="D82" s="5" t="str">
        <f>CONCATENATE(MAIN!O19," ",MAIN!P19," X 1'")</f>
        <v xml:space="preserve">  X 1'</v>
      </c>
      <c r="E82" s="5" t="e" cm="1">
        <f t="array" ref="E82">_xlfn.IFS(MAIN!$G$4="sa36",[1]master!$AB$96,MAIN!G$4=304,[1]master!$BA$96,MAIN!$G$4=316,[1]master!$CA$94)</f>
        <v>#N/A</v>
      </c>
      <c r="F82" s="5" t="e" cm="1">
        <f t="array" ref="F82">C82*IF(MAIN!$O19&gt;13,VLOOKUP(MAIN!$O19,Nozzles!$A$11:$F$16,_xlfn.IFS(MAIN!$O$5=0.1875,2,MAIN!$O$5=0.25,3,MAIN!$O$5=0.3125,4,MAIN!$O$5=0.375,5,MAIN!$O$5=0.5,6),FALSE),VLOOKUP(MAIN!$O19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</f>
        <v>#N/A</v>
      </c>
      <c r="G82" s="6" t="e" cm="1">
        <f t="array" ref="G82">$C82*VLOOKUP(MAIN!$O$5,Nozzles!$A$2:$P$6,_xlfn.IFS(MAIN!$O19=0.5,2,MAIN!$O19=1,2,MAIN!$O19=1.5,3,MAIN!$O19=2,3,MAIN!$O19=3,4,MAIN!$O19=4,5,MAIN!$O19=5,6,MAIN!$O19=6,7,MAIN!$O19=8,8,MAIN!$O19=10,9,MAIN!$O19=12,10,MAIN!$O19=14,11,MAIN!$O19=16,12,MAIN!$O19=18,13,MAIN!$O19=20,14,MAIN!$O19=24,15,MAIN!$O19=30,16),FALSE)</f>
        <v>#N/A</v>
      </c>
    </row>
    <row r="83" spans="1:7" ht="15.75" x14ac:dyDescent="0.5">
      <c r="A83">
        <v>79</v>
      </c>
      <c r="B83" s="32" t="s">
        <v>102</v>
      </c>
      <c r="C83" s="5">
        <f>MAIN!N20</f>
        <v>0</v>
      </c>
      <c r="D83" s="5" t="str">
        <f>CONCATENATE(MAIN!O20," ",MAIN!P20," X 1'")</f>
        <v xml:space="preserve">  X 1'</v>
      </c>
      <c r="E83" s="5" t="e" cm="1">
        <f t="array" ref="E83">_xlfn.IFS(MAIN!$G$4="sa36",[1]master!$AB$96,MAIN!G$4=304,[1]master!$BA$96,MAIN!$G$4=316,[1]master!$CA$94)</f>
        <v>#N/A</v>
      </c>
      <c r="F83" s="5" t="e" cm="1">
        <f t="array" ref="F83">C83*IF(MAIN!$O20&gt;13,VLOOKUP(MAIN!$O20,Nozzles!$A$11:$F$16,_xlfn.IFS(MAIN!$O$5=0.1875,2,MAIN!$O$5=0.25,3,MAIN!$O$5=0.3125,4,MAIN!$O$5=0.375,5,MAIN!$O$5=0.5,6),FALSE),VLOOKUP(MAIN!$O20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</f>
        <v>#N/A</v>
      </c>
      <c r="G83" s="6" t="e" cm="1">
        <f t="array" ref="G83">$C83*VLOOKUP(MAIN!$O$5,Nozzles!$A$2:$P$6,_xlfn.IFS(MAIN!$O20=0.5,2,MAIN!$O20=1,2,MAIN!$O20=1.5,3,MAIN!$O20=2,3,MAIN!$O20=3,4,MAIN!$O20=4,5,MAIN!$O20=5,6,MAIN!$O20=6,7,MAIN!$O20=8,8,MAIN!$O20=10,9,MAIN!$O20=12,10,MAIN!$O20=14,11,MAIN!$O20=16,12,MAIN!$O20=18,13,MAIN!$O20=20,14,MAIN!$O20=24,15,MAIN!$O20=30,16),FALSE)</f>
        <v>#N/A</v>
      </c>
    </row>
    <row r="84" spans="1:7" ht="15.75" x14ac:dyDescent="0.5">
      <c r="A84">
        <v>80</v>
      </c>
      <c r="B84" s="32" t="s">
        <v>103</v>
      </c>
      <c r="C84" s="5">
        <f>MAIN!N29</f>
        <v>0</v>
      </c>
      <c r="D84" s="5" t="e">
        <f>CONCATENATE(IF(MAIN!$O$5=0.1875,"0.25",MAIN!$O$5)," X ",VLOOKUP(MAIN!$O29,Nozzles!$L$12:$N$14,3,FALSE))</f>
        <v>#N/A</v>
      </c>
      <c r="E84" s="5">
        <f>MAIN!G$4</f>
        <v>0</v>
      </c>
      <c r="F84" s="5" t="e" cm="1">
        <f t="array" ref="F84">$C84*VLOOKUP(MAIN!$O29,Nozzles!$A$14:$F$16,_xlfn.IFS(MAIN!$O$5=0.1875,3,MAIN!$O$5=0.25,3,MAIN!$O$5=0.3125,4,MAIN!$O$5=0.375,5,MAIN!$O$5=0.5,6),FALSE)</f>
        <v>#N/A</v>
      </c>
      <c r="G84" s="6" t="e" cm="1">
        <f t="array" ref="G84">$C84*VLOOKUP(MAIN!$O$3,Nozzles!$A$2:$P$6,_xlfn.IFS(MAIN!$O29=0.5,2,MAIN!$O29=1,2,MAIN!$O29=1.5,3,MAIN!$O29=2,3,MAIN!$O29=3,4,MAIN!$O29=4,5,MAIN!$O29=5,6,MAIN!$O29=6,7,MAIN!$O29=8,8,MAIN!$O29=10,9,MAIN!$O29=12,10,MAIN!$O29=14,11,MAIN!$O29=16,12,MAIN!$O29=18,13,MAIN!$O29=20,14,MAIN!$O29=24,15,MAIN!$O29=30,16),FALSE)</f>
        <v>#N/A</v>
      </c>
    </row>
    <row r="85" spans="1:7" ht="15.75" x14ac:dyDescent="0.5">
      <c r="A85">
        <v>81</v>
      </c>
      <c r="B85" s="32" t="s">
        <v>104</v>
      </c>
      <c r="C85" s="5">
        <f>MAIN!N30</f>
        <v>0</v>
      </c>
      <c r="D85" s="5" t="e">
        <f>CONCATENATE(IF(MAIN!$O$5=0.1875,"0.25",MAIN!$O$5)," X ",VLOOKUP(MAIN!$O30,Nozzles!$L$12:$N$14,3,FALSE))</f>
        <v>#N/A</v>
      </c>
      <c r="E85" s="5">
        <f>MAIN!G$4</f>
        <v>0</v>
      </c>
      <c r="F85" s="5" t="e" cm="1">
        <f t="array" ref="F85">$C85*VLOOKUP(MAIN!$O30,Nozzles!$A$14:$F$16,_xlfn.IFS(MAIN!$O$5=0.1875,3,MAIN!$O$5=0.25,3,MAIN!$O$5=0.3125,4,MAIN!$O$5=0.375,5,MAIN!$O$5=0.5,6),FALSE)</f>
        <v>#N/A</v>
      </c>
      <c r="G85" s="6" t="e" cm="1">
        <f t="array" ref="G85">$C85*VLOOKUP(MAIN!$O$3,Nozzles!$A$2:$P$6,_xlfn.IFS(MAIN!$O30=0.5,2,MAIN!$O30=1,2,MAIN!$O30=1.5,3,MAIN!$O30=2,3,MAIN!$O30=3,4,MAIN!$O30=4,5,MAIN!$O30=5,6,MAIN!$O30=6,7,MAIN!$O30=8,8,MAIN!$O30=10,9,MAIN!$O30=12,10,MAIN!$O30=14,11,MAIN!$O30=16,12,MAIN!$O30=18,13,MAIN!$O30=20,14,MAIN!$O30=24,15,MAIN!$O30=30,16),FALSE)</f>
        <v>#N/A</v>
      </c>
    </row>
    <row r="86" spans="1:7" ht="15.75" x14ac:dyDescent="0.5">
      <c r="A86">
        <v>82</v>
      </c>
      <c r="B86" s="32" t="s">
        <v>105</v>
      </c>
      <c r="C86" s="5">
        <f>MAIN!N31</f>
        <v>0</v>
      </c>
      <c r="D86" s="5" t="e">
        <f>CONCATENATE(IF(MAIN!$O$5=0.1875,"0.25",MAIN!$O$5)," X ",VLOOKUP(MAIN!$O31,Nozzles!$L$12:$N$14,3,FALSE))</f>
        <v>#N/A</v>
      </c>
      <c r="E86" s="5">
        <f>MAIN!G$4</f>
        <v>0</v>
      </c>
      <c r="F86" s="5" t="e" cm="1">
        <f t="array" ref="F86">$C86*VLOOKUP(MAIN!$O31,Nozzles!$A$14:$F$16,_xlfn.IFS(MAIN!$O$5=0.1875,3,MAIN!$O$5=0.25,3,MAIN!$O$5=0.3125,4,MAIN!$O$5=0.375,5,MAIN!$O$5=0.5,6),FALSE)</f>
        <v>#N/A</v>
      </c>
      <c r="G86" s="6" t="e" cm="1">
        <f t="array" ref="G86">$C86*VLOOKUP(MAIN!$O$3,Nozzles!$A$2:$P$6,_xlfn.IFS(MAIN!$O31=0.5,2,MAIN!$O31=1,2,MAIN!$O31=1.5,3,MAIN!$O31=2,3,MAIN!$O31=3,4,MAIN!$O31=4,5,MAIN!$O31=5,6,MAIN!$O31=6,7,MAIN!$O31=8,8,MAIN!$O31=10,9,MAIN!$O31=12,10,MAIN!$O31=14,11,MAIN!$O31=16,12,MAIN!$O31=18,13,MAIN!$O31=20,14,MAIN!$O31=24,15,MAIN!$O31=30,16),FALSE)</f>
        <v>#N/A</v>
      </c>
    </row>
    <row r="87" spans="1:7" ht="15.75" x14ac:dyDescent="0.5">
      <c r="A87">
        <v>83</v>
      </c>
      <c r="B87" s="32" t="s">
        <v>106</v>
      </c>
      <c r="C87" s="5">
        <f>MAIN!N29</f>
        <v>0</v>
      </c>
      <c r="D87" s="5" t="str">
        <f>IF(MAIN!$P29="API",".625 thick flange",CONCATENATE(MAIN!$O29," 150# ",MAIN!$P29))</f>
        <v xml:space="preserve"> 150# </v>
      </c>
      <c r="E87" s="5" t="e" cm="1">
        <f t="array" ref="E87">IF(MAIN!P29="API",MAIN!G4,_xlfn.IFS(MAIN!$G$4="sa36",[1]master!$AK$184,MAIN!G$4=304,[1]master!$BJ$185,MAIN!$G$4=316,[1]master!$CJ$184))</f>
        <v>#N/A</v>
      </c>
      <c r="F87" s="5" t="e" cm="1">
        <f t="array" ref="F87">VLOOKUP(MAIN!O29,Nozzles!$L$22:$AA$24,_xlfn.IFS(AND(MAIN!$G$4="sa36",MAIN!P29="api"),2,AND(MAIN!$G$4="sa36",MAIN!P29="rfso"),8,AND(MAIN!$G$4="sa36",MAIN!P29="rfwn"),11,AND(MAIN!$G$4=304,MAIN!P29="api"),3,AND(MAIN!$G$4=304,MAIN!P29="rfso"),9,AND(MAIN!$G$4=304,MAIN!P29="rfwn"),12,AND(MAIN!$G$4=316,MAIN!P29="api"),4,AND(MAIN!$G$4=316,MAIN!P29="RFSO"),10,AND(MAIN!$G4=316,MAIN!P29="rfwn"),13),FALSE)</f>
        <v>#N/A</v>
      </c>
      <c r="G87" s="70" t="s">
        <v>232</v>
      </c>
    </row>
    <row r="88" spans="1:7" ht="15.75" x14ac:dyDescent="0.5">
      <c r="A88">
        <v>84</v>
      </c>
      <c r="B88" s="32" t="s">
        <v>107</v>
      </c>
      <c r="C88" s="5">
        <f>MAIN!N30</f>
        <v>0</v>
      </c>
      <c r="D88" s="5" t="str">
        <f>IF(MAIN!$P30="API",".625 thick",CONCATENATE(MAIN!$O30," 150# ",MAIN!$P30))</f>
        <v xml:space="preserve"> 150# </v>
      </c>
      <c r="E88" s="5" t="e" cm="1">
        <f t="array" ref="E88">IF(MAIN!P30="API",MAIN!G4,_xlfn.IFS(MAIN!$G$4="sa36",[1]master!$AK$184,MAIN!G$4=304,[1]master!$BJ$185,MAIN!$G$4=316,[1]master!$CJ$184))</f>
        <v>#N/A</v>
      </c>
      <c r="F88" s="5" t="e" cm="1">
        <f t="array" ref="F88">VLOOKUP(MAIN!O30,Nozzles!$L$22:$AA$24,_xlfn.IFS(AND(MAIN!$G$4="sa36",MAIN!P30="api"),2,AND(MAIN!$G$4="sa36",MAIN!P30="rfso"),8,AND(MAIN!$G$4="sa36",MAIN!P30="rfwn"),11,AND(MAIN!$G$4=304,MAIN!P30="api"),3,AND(MAIN!$G$4=304,MAIN!P30="rfso"),9,AND(MAIN!$G$4=304,MAIN!P30="rfwn"),12,AND(MAIN!$G$4=316,MAIN!P30="api"),4,AND(MAIN!$G$4=316,MAIN!P30="RFSO"),10,AND(MAIN!$G4=316,MAIN!P30="rfwn"),13),FALSE)</f>
        <v>#N/A</v>
      </c>
      <c r="G88" s="70" t="s">
        <v>232</v>
      </c>
    </row>
    <row r="89" spans="1:7" ht="15.75" x14ac:dyDescent="0.5">
      <c r="A89">
        <v>85</v>
      </c>
      <c r="B89" s="32" t="s">
        <v>108</v>
      </c>
      <c r="C89" s="5">
        <f>MAIN!N31</f>
        <v>0</v>
      </c>
      <c r="D89" s="5" t="str">
        <f>IF(MAIN!$P31="API",".625 thick",CONCATENATE(MAIN!$O31," 150# ",MAIN!$P31))</f>
        <v xml:space="preserve"> 150# </v>
      </c>
      <c r="E89" s="5" t="e" cm="1">
        <f t="array" ref="E89">IF(MAIN!P31="API",MAIN!G4,_xlfn.IFS(MAIN!$G$4="sa36",[1]master!$AK$184,MAIN!G$4=304,[1]master!$BJ$185,MAIN!$G$4=316,[1]master!$CJ$184))</f>
        <v>#N/A</v>
      </c>
      <c r="F89" s="5" t="e" cm="1">
        <f t="array" ref="F89">VLOOKUP(MAIN!O31,Nozzles!$L$22:$AA$24,_xlfn.IFS(AND(MAIN!$G$4="sa36",MAIN!P31="api"),2,AND(MAIN!$G$4="sa36",MAIN!P31="rfso"),8,AND(MAIN!$G$4="sa36",MAIN!P31="rfwn"),11,AND(MAIN!$G$4=304,MAIN!P31="api"),3,AND(MAIN!$G$4=304,MAIN!P31="rfso"),9,AND(MAIN!$G$4=304,MAIN!P31="rfwn"),12,AND(MAIN!$G$4=316,MAIN!P31="api"),4,AND(MAIN!$G$4=316,MAIN!P31="RFSO"),10,AND(MAIN!$G4=316,MAIN!P31="RFWN"),13),FALSE)</f>
        <v>#N/A</v>
      </c>
      <c r="G89" s="70" t="s">
        <v>232</v>
      </c>
    </row>
    <row r="90" spans="1:7" ht="15.75" x14ac:dyDescent="0.5">
      <c r="A90">
        <v>86</v>
      </c>
      <c r="B90" s="32" t="s">
        <v>109</v>
      </c>
      <c r="C90" s="5">
        <f>MAIN!N29</f>
        <v>0</v>
      </c>
      <c r="D90" s="5" t="str">
        <f>IF(MAIN!$P29="API",".625 thick cover",CONCATENATE(MAIN!$O29," 150# BLIND"))</f>
        <v xml:space="preserve"> 150# BLIND</v>
      </c>
      <c r="E90" s="5" t="e" cm="1">
        <f t="array" ref="E90">IF(MAIN!P29="API",MAIN!G4,_xlfn.IFS(MAIN!$G$4="sa36",[1]master!$AK$184,MAIN!G$4=304,[1]master!$BJ$185,MAIN!$G$4=316,[1]master!$CJ$184))</f>
        <v>#N/A</v>
      </c>
      <c r="F90" s="5" t="e" cm="1">
        <f t="array" ref="F90">VLOOKUP(MAIN!O29,Nozzles!$L$22:$AA$24,_xlfn.IFS(AND(MAIN!$G$4="sa36",MAIN!P29="api"),5,AND(MAIN!$G$4=304,MAIN!P29="api"),6,AND(MAIN!$G$4=316,MAIN!P29="api"),7,AND(MAIN!$G$4="sa36",MAIN!P29="rfwn"),14,AND(MAIN!$G$4=304,MAIN!P29="rfwn"),15,AND(MAIN!$G$4=316,MAIN!P29="rfwn"),16,AND(MAIN!$G$4="sa36",MAIN!P29="rfso"),14,AND(MAIN!$G$4=304,MAIN!P29="rfso"),15,AND(MAIN!$G$4=316,MAIN!P29="rfso"),16),FALSE)</f>
        <v>#N/A</v>
      </c>
      <c r="G90" s="6" t="s">
        <v>232</v>
      </c>
    </row>
    <row r="91" spans="1:7" ht="15.75" x14ac:dyDescent="0.5">
      <c r="A91">
        <v>87</v>
      </c>
      <c r="B91" s="32" t="s">
        <v>110</v>
      </c>
      <c r="C91" s="5">
        <f>MAIN!N30</f>
        <v>0</v>
      </c>
      <c r="D91" s="5" t="str">
        <f>IF(MAIN!$P30="API",".625 thick cover",CONCATENATE(MAIN!$O30," 150# BLIND"))</f>
        <v xml:space="preserve"> 150# BLIND</v>
      </c>
      <c r="E91" s="5" t="e" cm="1">
        <f t="array" ref="E91">IF(MAIN!P30="API",MAIN!G4,_xlfn.IFS(MAIN!$G$4="sa36",[1]master!$AK$184,MAIN!G$4=304,[1]master!$BJ$185,MAIN!$G$4=316,[1]master!$CJ$184))</f>
        <v>#N/A</v>
      </c>
      <c r="F91" s="5" t="e" cm="1">
        <f t="array" ref="F91">VLOOKUP(MAIN!O30,Nozzles!$L$22:$AA$24,_xlfn.IFS(AND(MAIN!$G$4="sa36",MAIN!P30="api"),5,AND(MAIN!$G$4=304,MAIN!P30="api"),6,AND(MAIN!$G$4=316,MAIN!P30="api"),7,AND(MAIN!$G$4="sa36",MAIN!P30="rfwn"),14,AND(MAIN!$G$4=304,MAIN!P30="rfwn"),15,AND(MAIN!$G$4=316,MAIN!P30="rfwn"),16,AND(MAIN!$G$4="sa36",MAIN!P30="rfso"),14,AND(MAIN!$G$4=304,MAIN!P30="rfso"),15,AND(MAIN!$G$4=316,MAIN!P30="rfso"),16),FALSE)</f>
        <v>#N/A</v>
      </c>
      <c r="G91" s="6" t="s">
        <v>232</v>
      </c>
    </row>
    <row r="92" spans="1:7" ht="15.75" x14ac:dyDescent="0.5">
      <c r="A92">
        <v>88</v>
      </c>
      <c r="B92" s="32" t="s">
        <v>111</v>
      </c>
      <c r="C92" s="5">
        <f>MAIN!N31</f>
        <v>0</v>
      </c>
      <c r="D92" s="5" t="str">
        <f>IF(MAIN!$P31="API",".625 thick cover",CONCATENATE(MAIN!$O31," 150# BLIND"))</f>
        <v xml:space="preserve"> 150# BLIND</v>
      </c>
      <c r="E92" s="5" t="e" cm="1">
        <f t="array" ref="E92">IF(MAIN!P31="API",MAIN!G4,_xlfn.IFS(MAIN!$G$4="sa36",[1]master!$AK$184,MAIN!G$4=304,[1]master!$BJ$185,MAIN!$G$4=316,[1]master!$CJ$184))</f>
        <v>#N/A</v>
      </c>
      <c r="F92" s="5" t="e" cm="1">
        <f t="array" ref="F92">VLOOKUP(MAIN!O31,Nozzles!$L$22:$AA$24,_xlfn.IFS(AND(MAIN!$G$4="sa36",MAIN!P31="api"),5,AND(MAIN!$G$4=304,MAIN!P31="api"),6,AND(MAIN!$G$4=316,MAIN!P31="api"),7,AND(MAIN!$G$4="sa36",MAIN!P31="rfwn"),14,AND(MAIN!$G$4=304,MAIN!P31="rfwn"),15,AND(MAIN!$G$4=316,MAIN!P31="rfwn"),16,AND(MAIN!$G$4="sa36",MAIN!P31="rfso"),14,AND(MAIN!$G$4=304,MAIN!P31="rfso"),15,AND(MAIN!$G$4=316,MAIN!P31="rfso"),16),FALSE)</f>
        <v>#N/A</v>
      </c>
      <c r="G92" s="6" t="s">
        <v>232</v>
      </c>
    </row>
    <row r="93" spans="1:7" ht="15.75" x14ac:dyDescent="0.5">
      <c r="A93">
        <v>89</v>
      </c>
      <c r="B93" s="32" t="s">
        <v>112</v>
      </c>
      <c r="C93" s="5">
        <f>COUNTIF(MAIN!Q29:Q31,"Davit")</f>
        <v>0</v>
      </c>
      <c r="D93" s="5" t="s">
        <v>387</v>
      </c>
      <c r="E93" s="5">
        <f>MAIN!G$4</f>
        <v>0</v>
      </c>
      <c r="F93" s="5" t="e" cm="1">
        <f t="array" ref="F93">_xlfn.IFS(MAIN!$G$4="sa36",250,MAIN!$G$4=304,300,MAIN!$G$4=316,350)*$C93</f>
        <v>#N/A</v>
      </c>
      <c r="G93" s="6">
        <f>C93*4</f>
        <v>0</v>
      </c>
    </row>
    <row r="94" spans="1:7" ht="15.75" x14ac:dyDescent="0.5">
      <c r="A94">
        <v>90</v>
      </c>
      <c r="B94" s="32" t="s">
        <v>113</v>
      </c>
      <c r="C94" s="5">
        <f>COUNTIF(MAIN!Q29:Q31,"Hinge")</f>
        <v>0</v>
      </c>
      <c r="D94" s="5" t="s">
        <v>387</v>
      </c>
      <c r="E94" s="5">
        <f>MAIN!G$4</f>
        <v>0</v>
      </c>
      <c r="F94" s="5" t="e" cm="1">
        <f t="array" ref="F94">_xlfn.IFS(MAIN!$G$4="sa36",150,MAIN!$G$4=304,200,MAIN!$G$4=316,250)*$C94</f>
        <v>#N/A</v>
      </c>
      <c r="G94" s="6">
        <f>C94*3</f>
        <v>0</v>
      </c>
    </row>
    <row r="95" spans="1:7" ht="15.75" x14ac:dyDescent="0.5">
      <c r="A95">
        <v>91</v>
      </c>
      <c r="B95" s="32" t="s">
        <v>114</v>
      </c>
      <c r="C95" s="5">
        <f>SUM(MAIN!N29:N31)</f>
        <v>0</v>
      </c>
      <c r="D95" s="5" t="str">
        <f>CONCATENATE(MAIN!$C$11,", ",MAIN!$C$12,", ",MAIN!$G$12)</f>
        <v>Garlock 3000, SA193-B7, SA193-2H</v>
      </c>
      <c r="E95" s="5"/>
      <c r="F95" s="5">
        <f>C95*750</f>
        <v>0</v>
      </c>
      <c r="G95" s="6">
        <f>C95*2</f>
        <v>0</v>
      </c>
    </row>
    <row r="96" spans="1:7" ht="15.75" x14ac:dyDescent="0.5">
      <c r="A96">
        <v>92</v>
      </c>
      <c r="B96" s="32" t="s">
        <v>115</v>
      </c>
      <c r="C96" s="5">
        <f>MAIN!K30*2</f>
        <v>0</v>
      </c>
      <c r="D96" s="5" t="str">
        <f>CONCATENATE(MAIN!L30," SCH40 90° ELBOW")</f>
        <v xml:space="preserve"> SCH40 90° ELBOW</v>
      </c>
      <c r="E96" s="5" t="e" cm="1">
        <f t="array" ref="E96">_xlfn.IFS(MAIN!$G$4="sa36",[1]master!$AB$96,MAIN!G$4=304,[1]master!$BA$96,MAIN!$G$4=316,[1]master!$CA$94)</f>
        <v>#N/A</v>
      </c>
      <c r="F96" s="5" t="e">
        <f>C96*VLOOKUP(D96,_xlfn.IFS(MAIN!$G$4="SA36",[1]master!$AA$186:$AC$191,MAIN!$G$4=304,[1]master!$AZ$186:$BB$191,MAIN!$G$4=316,[1]master!$BZ$186:$CB$191),3,FALSE)</f>
        <v>#N/A</v>
      </c>
      <c r="G96" s="6" t="e" cm="1">
        <f t="array" ref="G96">$C96*VLOOKUP(MAIN!$O$5,Nozzles!$A$2:$P$6,_xlfn.IFS(MAIN!$L30=0.5,2,MAIN!$L30=1,2,MAIN!$L30=1.5,3,MAIN!$L30=2,3,MAIN!$L30=3,4,MAIN!$L30=4,5,MAIN!$L30=5,6,MAIN!$L30=6,7,MAIN!$L30=8,8,MAIN!$L30=10,9,MAIN!$L30=12,10,MAIN!$L30=14,11,MAIN!$L30=16,12,MAIN!$L30=18,13,MAIN!$L30=20,14,MAIN!$L30=24,15,MAIN!$L30=30,16),FALSE)</f>
        <v>#N/A</v>
      </c>
    </row>
    <row r="97" spans="1:7" ht="15.75" x14ac:dyDescent="0.5">
      <c r="A97">
        <v>93</v>
      </c>
      <c r="B97" s="32" t="s">
        <v>338</v>
      </c>
      <c r="C97" s="5">
        <f>MAIN!K30*1</f>
        <v>0</v>
      </c>
      <c r="D97" s="5" t="str">
        <f>CONCATENATE(MAIN!L30," SCH40 X 1'")</f>
        <v xml:space="preserve"> SCH40 X 1'</v>
      </c>
      <c r="E97" s="5" t="e" cm="1">
        <f t="array" ref="E97">_xlfn.IFS(MAIN!$G$4="sa36",[1]master!$AB$96,MAIN!G$4=304,[1]master!$BA$96,MAIN!$G$4=316,[1]master!$CA$94)</f>
        <v>#N/A</v>
      </c>
      <c r="F97" s="5" t="e" cm="1">
        <f t="array" ref="F97">C97*IF(MAIN!$L30&gt;13,VLOOKUP(MAIN!$L30,Nozzles!$A$11:$F$16,_xlfn.IFS(MAIN!$O$5=0.1875,2,MAIN!$O$5=0.25,3,MAIN!$O$5=0.3125,4,MAIN!$O$5=0.375,5,MAIN!$O$5=0.5,6),FALSE),VLOOKUP(MAIN!$L30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</f>
        <v>#N/A</v>
      </c>
      <c r="G97" s="6" t="s">
        <v>232</v>
      </c>
    </row>
    <row r="98" spans="1:7" ht="15.75" x14ac:dyDescent="0.5">
      <c r="A98">
        <v>94</v>
      </c>
      <c r="B98" s="32" t="s">
        <v>116</v>
      </c>
      <c r="C98" s="5">
        <f>MAIN!K31*2</f>
        <v>0</v>
      </c>
      <c r="D98" s="5" t="str">
        <f>CONCATENATE(MAIN!L31," SCH40 90° ELBOW")</f>
        <v xml:space="preserve"> SCH40 90° ELBOW</v>
      </c>
      <c r="E98" s="5" t="e" cm="1">
        <f t="array" ref="E98">_xlfn.IFS(MAIN!$G$4="sa36",[1]master!$AB$96,MAIN!G$4=304,[1]master!$BA$96,MAIN!$G$4=316,[1]master!$CA$94)</f>
        <v>#N/A</v>
      </c>
      <c r="F98" s="5" t="e">
        <f>C98*VLOOKUP(D98,_xlfn.IFS(MAIN!$G$4="SA36",[1]master!$AA$186:$AC$191,MAIN!$G$4=304,[1]master!$AZ$186:$BB$191,MAIN!$G$4=316,[1]master!$BZ$186:$CB$191),3,FALSE)</f>
        <v>#N/A</v>
      </c>
      <c r="G98" s="6" t="e" cm="1">
        <f t="array" ref="G98">$C98*VLOOKUP(MAIN!$O$5,Nozzles!$A$2:$P$6,_xlfn.IFS(MAIN!$L31=0.5,2,MAIN!$L31=1,2,MAIN!$L31=1.5,3,MAIN!$L31=2,3,MAIN!$L31=3,4,MAIN!$L31=4,5,MAIN!$L31=5,6,MAIN!$L31=6,7,MAIN!$L31=8,8,MAIN!$L31=10,9,MAIN!$L31=12,10,MAIN!$L31=14,11,MAIN!$L31=16,12,MAIN!$L31=18,13,MAIN!$L31=20,14,MAIN!$L31=24,15,MAIN!$L31=30,16),FALSE)</f>
        <v>#N/A</v>
      </c>
    </row>
    <row r="99" spans="1:7" ht="15.75" x14ac:dyDescent="0.5">
      <c r="A99">
        <v>95</v>
      </c>
      <c r="B99" s="32" t="s">
        <v>338</v>
      </c>
      <c r="C99" s="5">
        <f>MAIN!K31*1</f>
        <v>0</v>
      </c>
      <c r="D99" s="5" t="str">
        <f>CONCATENATE(MAIN!L31," SCH40 X 1'")</f>
        <v xml:space="preserve"> SCH40 X 1'</v>
      </c>
      <c r="E99" s="5" t="e" cm="1">
        <f t="array" ref="E99">_xlfn.IFS(MAIN!$G$4="sa36",[1]master!$AB$96,MAIN!G$4=304,[1]master!$BA$96,MAIN!$G$4=316,[1]master!$CA$94)</f>
        <v>#N/A</v>
      </c>
      <c r="F99" s="5" t="e" cm="1">
        <f t="array" ref="F99">C99*IF(MAIN!$L31&gt;13,VLOOKUP(MAIN!$L31,Nozzles!$A$11:$F$16,_xlfn.IFS(MAIN!$O$5=0.1875,2,MAIN!$O$5=0.25,3,MAIN!$O$5=0.3125,4,MAIN!$O$5=0.375,5,MAIN!$O$5=0.5,6),FALSE),VLOOKUP(MAIN!$L31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</f>
        <v>#N/A</v>
      </c>
      <c r="G99" s="6" t="s">
        <v>232</v>
      </c>
    </row>
    <row r="100" spans="1:7" ht="15.75" x14ac:dyDescent="0.5">
      <c r="A100">
        <v>96</v>
      </c>
      <c r="B100" s="32" t="s">
        <v>117</v>
      </c>
      <c r="C100" s="5">
        <f>MAIN!$A$17</f>
        <v>0</v>
      </c>
      <c r="D100" s="5" t="str">
        <f>CONCATENATE(MAIN!$B$17," ", MAIN!$E$17," ",MAIN!$C$17)</f>
        <v xml:space="preserve"> 150# RFSO</v>
      </c>
      <c r="E100" s="5" t="e" cm="1">
        <f t="array" ref="E100">IF(MAIN!P42="API",MAIN!G16,_xlfn.IFS(MAIN!$G$4="sa36",[1]master!$AK$184,MAIN!G$4=304,[1]master!$BJ$185,MAIN!$G$4=316,[1]master!$CJ$184))</f>
        <v>#N/A</v>
      </c>
      <c r="F100" s="72" t="e" cm="1">
        <f t="array" ref="F100">VLOOKUP(MAIN!B17,Nozzles!$K$31:$T$47,_xlfn.IFS(AND(MAIN!$G$4="sa36",MAIN!C17="rfso"),2,AND(MAIN!$G$4="sa36",MAIN!C17="rfwn"),3,AND(MAIN!$G$4=304,MAIN!C17="rfso"),5,AND(MAIN!$G$4=304,MAIN!C17="rfwn"),6,AND(MAIN!$G$4=316,MAIN!C17="rfso"),8,AND(MAIN!$G$4=316,MAIN!C17="rfwn"),9),FALSE)*C100</f>
        <v>#N/A</v>
      </c>
      <c r="G100" s="6" t="e" cm="1">
        <f t="array" ref="G100">$C100*VLOOKUP(MAIN!$O$5,Nozzles!$A$2:$P$6,_xlfn.IFS(MAIN!$B17=0.5,2,MAIN!$B17=1,2,MAIN!$B17=1.5,3,MAIN!$B17=2,3,MAIN!$B17=3,4,MAIN!$B17=4,5,MAIN!$B17=5,6,MAIN!$B17=6,7,MAIN!$B17=8,8,MAIN!$B17=10,9,MAIN!$B17=12,10,MAIN!$B17=14,11,MAIN!$B17=16,12,MAIN!$B17=18,13,MAIN!$B17=20,14,MAIN!$B17=24,15,MAIN!$B17=30,16),FALSE)</f>
        <v>#N/A</v>
      </c>
    </row>
    <row r="101" spans="1:7" ht="15.75" x14ac:dyDescent="0.5">
      <c r="A101">
        <v>97</v>
      </c>
      <c r="B101" s="32" t="s">
        <v>118</v>
      </c>
      <c r="C101" s="5">
        <f>MAIN!$A$17</f>
        <v>0</v>
      </c>
      <c r="D101" s="5" t="str">
        <f>CONCATENATE(MAIN!$B$17," ",MAIN!$D$17," X ",MAIN!$H$17)</f>
        <v xml:space="preserve"> SCH40 X 1</v>
      </c>
      <c r="E101" s="5" t="e" cm="1">
        <f t="array" ref="E101">_xlfn.IFS(MAIN!$G$4="sa36",[1]master!$AB$96,MAIN!G$4=304,[1]master!$BA$96,MAIN!$G$4=316,[1]master!$CA$94)</f>
        <v>#N/A</v>
      </c>
      <c r="F101" s="5" t="e" cm="1">
        <f t="array" ref="F101">C101*IF(MAIN!$B$17&gt;13,VLOOKUP(MAIN!$B$17,Nozzles!$A$11:$F$16,_xlfn.IFS(MAIN!$O$5=0.1875,2,MAIN!$O$5=0.25,3,MAIN!$O$5=0.3125,4,MAIN!$O$5=0.375,5,MAIN!$O$5=0.5,6),FALSE),VLOOKUP(MAIN!$B$17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$17</f>
        <v>#N/A</v>
      </c>
      <c r="G101" s="6" t="str">
        <f>IF(MAIN!H17=1,"-",MAIN!A17*1)</f>
        <v>-</v>
      </c>
    </row>
    <row r="102" spans="1:7" ht="15.75" x14ac:dyDescent="0.5">
      <c r="A102">
        <v>98</v>
      </c>
      <c r="B102" s="32" t="s">
        <v>119</v>
      </c>
      <c r="C102" s="5">
        <f>IF(MAIN!$F$17="YES",MAIN!$A$17,)</f>
        <v>0</v>
      </c>
      <c r="D102" s="5" t="str">
        <f>CONCATENATE(MAIN!$B$17," ",MAIN!$E$17," BLIND")</f>
        <v xml:space="preserve"> 150# BLIND</v>
      </c>
      <c r="E102" s="5" t="e" cm="1">
        <f t="array" ref="E102">IF(MAIN!P44="API",MAIN!G18,_xlfn.IFS(MAIN!$G$4="sa36",[1]master!$AK$184,MAIN!G$4=304,[1]master!$BJ$185,MAIN!$G$4=316,[1]master!$CJ$184))</f>
        <v>#N/A</v>
      </c>
      <c r="F102" s="72" t="e" cm="1">
        <f t="array" ref="F102">C102*VLOOKUP(MAIN!B17,Nozzles!$K$31:$T$47,_xlfn.IFS(MAIN!$G$4="sa36",4,MAIN!$G$4=304,7,MAIN!$G$4=316,10),FALSE)</f>
        <v>#N/A</v>
      </c>
      <c r="G102" s="6" t="s">
        <v>232</v>
      </c>
    </row>
    <row r="103" spans="1:7" ht="15.75" x14ac:dyDescent="0.5">
      <c r="A103">
        <v>99</v>
      </c>
      <c r="B103" s="32" t="s">
        <v>120</v>
      </c>
      <c r="C103" s="5">
        <f>IF(MAIN!$G$17="YES",MAIN!$A$17,)</f>
        <v>0</v>
      </c>
      <c r="D103" s="5" t="str">
        <f>CONCATENATE("3/8 X ",MAIN!$B$17*2," DIA")</f>
        <v>3/8 X 0 DIA</v>
      </c>
      <c r="E103" s="5" t="e" cm="1">
        <f t="array" ref="E103">_xlfn.IFS(MAIN!$G$4="SA36","sa36",MAIN!$G$4=304,304,MAIN!$G$4=316,304)</f>
        <v>#N/A</v>
      </c>
      <c r="F103" s="38">
        <f>(MAIN!B17*2)*(MAIN!B17*2)*IF(MAIN!G4="sa36",15.32,16.5)/144*IF(MAIN!G4="sa36",[1]Plate!$C$34,[1]Plate!$I$7)*C103</f>
        <v>0</v>
      </c>
      <c r="G103" s="6" cm="1">
        <f t="array" ref="G103">_xlfn.IFS(MAIN!B17&lt;11,3,MAIN!B17&lt;19,4,MAIN!B17&lt;25,5,MAIN!B17&gt;25,6)*C103</f>
        <v>0</v>
      </c>
    </row>
    <row r="104" spans="1:7" ht="15.75" x14ac:dyDescent="0.5">
      <c r="A104">
        <v>100</v>
      </c>
      <c r="B104" s="32" t="s">
        <v>121</v>
      </c>
      <c r="C104" s="5" cm="1">
        <f t="array" ref="C104">IF(MAIN!$G$17="YES",_xlfn.IFS(MAIN!$B$17&lt;9,4,MAIN!$B$17&lt;15,6,MAIN!$B$17&lt;19,8,MAIN!$B$17&lt;31,10),)</f>
        <v>0</v>
      </c>
      <c r="D104" s="5" t="str">
        <f>CONCATENATE("3/8 X 12 X 24")</f>
        <v>3/8 X 12 X 24</v>
      </c>
      <c r="E104" s="5" t="e" cm="1">
        <f t="array" ref="E104">_xlfn.IFS(MAIN!$G$4="SA36","sa36",MAIN!$G$4=304,304,MAIN!$G$4=316,304)</f>
        <v>#N/A</v>
      </c>
      <c r="F104" s="38">
        <f>C104*12*24*IF(MAIN!$G$4="sa36",15.32,16.5)/144*IF(MAIN!$G$4="sa36",[1]Plate!$C$34,[1]Plate!$I$7)</f>
        <v>0</v>
      </c>
      <c r="G104" s="6">
        <f>G103</f>
        <v>0</v>
      </c>
    </row>
    <row r="105" spans="1:7" ht="15.75" x14ac:dyDescent="0.5">
      <c r="A105">
        <v>101</v>
      </c>
      <c r="B105" s="32" t="s">
        <v>339</v>
      </c>
      <c r="C105" s="5">
        <f>IF(MAIN!F17="YES",MAIN!A17,)</f>
        <v>0</v>
      </c>
      <c r="D105" s="5" t="str">
        <f>CONCATENATE(MAIN!$C$11,", ",MAIN!$C$12,", ",MAIN!$G$12)</f>
        <v>Garlock 3000, SA193-B7, SA193-2H</v>
      </c>
      <c r="E105" s="5"/>
      <c r="F105" s="5" cm="1">
        <f t="array" ref="F105">C105*_xlfn.IFS(MAIN!B17&lt;3.1,150,MAIN!B17&lt;6.1,200,MAIN!B17&lt;10.1,300,MAIN!B17&lt;16.1,500,MAIN!B17&lt;31,750)</f>
        <v>0</v>
      </c>
      <c r="G105" s="6">
        <f>C105*2</f>
        <v>0</v>
      </c>
    </row>
    <row r="106" spans="1:7" ht="15.75" x14ac:dyDescent="0.5">
      <c r="A106">
        <v>102</v>
      </c>
      <c r="B106" s="32" t="s">
        <v>122</v>
      </c>
      <c r="C106" s="5">
        <f>MAIN!$A$18</f>
        <v>0</v>
      </c>
      <c r="D106" s="5" t="str">
        <f>CONCATENATE(MAIN!$B$18," ", MAIN!$E$18," ",MAIN!$C$18)</f>
        <v xml:space="preserve"> 150# RFSO</v>
      </c>
      <c r="E106" s="5" t="e" cm="1">
        <f t="array" ref="E106">IF(MAIN!P48="API",MAIN!G22,_xlfn.IFS(MAIN!$G$4="sa36",[1]master!$AK$184,MAIN!G$4=304,[1]master!$BJ$185,MAIN!$G$4=316,[1]master!$CJ$184))</f>
        <v>#N/A</v>
      </c>
      <c r="F106" s="72" t="e" cm="1">
        <f t="array" ref="F106">VLOOKUP(MAIN!B18,Nozzles!$K$31:$T$47,_xlfn.IFS(AND(MAIN!$G$4="sa36",MAIN!C18="rfso"),2,AND(MAIN!$G$4="sa36",MAIN!C18="rfwn"),3,AND(MAIN!$G$4=304,MAIN!C18="rfso"),5,AND(MAIN!$G$4=304,MAIN!C18="rfwn"),6,AND(MAIN!$G$4=316,MAIN!C18="rfso"),8,AND(MAIN!$G$4=316,MAIN!C18="rfwn"),9),FALSE)*C76</f>
        <v>#N/A</v>
      </c>
      <c r="G106" s="6" t="e" cm="1">
        <f t="array" ref="G106">$C76*VLOOKUP(MAIN!$O$5,Nozzles!$A$2:$P$6,_xlfn.IFS(MAIN!$B18=0.5,2,MAIN!$B18=1,2,MAIN!$B18=1.5,3,MAIN!$B18=2,3,MAIN!$B18=3,4,MAIN!$B18=4,5,MAIN!$B18=5,6,MAIN!$B18=6,7,MAIN!$B18=8,8,MAIN!$B18=10,9,MAIN!$B18=12,10,MAIN!$B18=14,11,MAIN!$B18=16,12,MAIN!$B18=18,13,MAIN!$B18=20,14,MAIN!$B18=24,15,MAIN!$B18=30,16),FALSE)</f>
        <v>#N/A</v>
      </c>
    </row>
    <row r="107" spans="1:7" ht="15.75" x14ac:dyDescent="0.5">
      <c r="A107">
        <v>103</v>
      </c>
      <c r="B107" s="32" t="s">
        <v>123</v>
      </c>
      <c r="C107" s="5">
        <f>MAIN!$A$18</f>
        <v>0</v>
      </c>
      <c r="D107" s="5" t="str">
        <f>CONCATENATE(MAIN!$B$18," ",MAIN!$D$18," X ",MAIN!$H$18)</f>
        <v xml:space="preserve"> SCH40 X 1</v>
      </c>
      <c r="E107" s="5" t="e" cm="1">
        <f t="array" ref="E107">_xlfn.IFS(MAIN!$G$4="sa36",[1]master!$AB$96,MAIN!G$4=304,[1]master!$BA$96,MAIN!$G$4=316,[1]master!$CA$94)</f>
        <v>#N/A</v>
      </c>
      <c r="F107" s="5" t="e" cm="1">
        <f t="array" ref="F107">C107*IF(MAIN!$B$18&gt;13,VLOOKUP(MAIN!$B$18,Nozzles!$A$11:$F$16,_xlfn.IFS(MAIN!$O$5=0.1875,2,MAIN!$O$5=0.25,3,MAIN!$O$5=0.3125,4,MAIN!$O$5=0.375,5,MAIN!$O$5=0.5,6),FALSE),VLOOKUP(MAIN!$B$18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$18</f>
        <v>#N/A</v>
      </c>
      <c r="G107" s="6" t="str">
        <f>IF(MAIN!H18=1,"-",MAIN!A18*1)</f>
        <v>-</v>
      </c>
    </row>
    <row r="108" spans="1:7" ht="15.75" x14ac:dyDescent="0.5">
      <c r="A108">
        <v>104</v>
      </c>
      <c r="B108" s="32" t="s">
        <v>124</v>
      </c>
      <c r="C108" s="5">
        <f>IF(MAIN!$F$18="YES",MAIN!$A$18,)</f>
        <v>0</v>
      </c>
      <c r="D108" s="5" t="str">
        <f>CONCATENATE(MAIN!$B$18," ",MAIN!$E$18," BLIND")</f>
        <v xml:space="preserve"> 150# BLIND</v>
      </c>
      <c r="E108" s="5" t="e" cm="1">
        <f t="array" ref="E108">IF(MAIN!P50="API",MAIN!G24,_xlfn.IFS(MAIN!$G$4="sa36",[1]master!$AK$184,MAIN!G$4=304,[1]master!$BJ$185,MAIN!$G$4=316,[1]master!$CJ$184))</f>
        <v>#N/A</v>
      </c>
      <c r="F108" s="72" t="e" cm="1">
        <f t="array" ref="F108">C108*VLOOKUP(MAIN!B18,Nozzles!$K$31:$T$47,_xlfn.IFS(MAIN!$G$4="sa36",4,MAIN!$G$4=304,7,MAIN!$G$4=316,10),FALSE)</f>
        <v>#N/A</v>
      </c>
      <c r="G108" s="6" t="s">
        <v>232</v>
      </c>
    </row>
    <row r="109" spans="1:7" ht="15.75" x14ac:dyDescent="0.5">
      <c r="A109">
        <v>105</v>
      </c>
      <c r="B109" s="32" t="s">
        <v>125</v>
      </c>
      <c r="C109" s="5">
        <f>IF(MAIN!$G$18="YES",MAIN!$A$18,)</f>
        <v>0</v>
      </c>
      <c r="D109" s="5" t="str">
        <f>CONCATENATE("3/8 X ",MAIN!$B$18*2," DIA")</f>
        <v>3/8 X 0 DIA</v>
      </c>
      <c r="E109" s="5" t="e" cm="1">
        <f t="array" ref="E109">_xlfn.IFS(MAIN!$G$4="SA36","sa36",MAIN!$G$4=304,304,MAIN!$G$4=316,304)</f>
        <v>#N/A</v>
      </c>
      <c r="F109" s="38">
        <f>(MAIN!B18*2)*(MAIN!B18*2)*IF(MAIN!$G$4="sa36",15.32,16.5)/144*IF(MAIN!$G$4="sa36",[1]Plate!$C$34,[1]Plate!$I$7)*C109</f>
        <v>0</v>
      </c>
      <c r="G109" s="6" cm="1">
        <f t="array" ref="G109">_xlfn.IFS(MAIN!B18&lt;11,3,MAIN!B18&lt;19,4,MAIN!B18&lt;25,5,MAIN!B18&gt;25,6)*C109</f>
        <v>0</v>
      </c>
    </row>
    <row r="110" spans="1:7" ht="15.75" x14ac:dyDescent="0.5">
      <c r="A110">
        <v>106</v>
      </c>
      <c r="B110" s="32" t="s">
        <v>126</v>
      </c>
      <c r="C110" s="5" cm="1">
        <f t="array" ref="C110">IF(MAIN!$G$18="YES",_xlfn.IFS(MAIN!$B$18&lt;9,4,MAIN!$B$18&lt;15,6,MAIN!$B$18&lt;19,8,MAIN!$B$18&lt;31,10),)</f>
        <v>0</v>
      </c>
      <c r="D110" s="5" t="str">
        <f>CONCATENATE("3/8 X 12 X 24")</f>
        <v>3/8 X 12 X 24</v>
      </c>
      <c r="E110" s="5" t="e" cm="1">
        <f t="array" ref="E110">_xlfn.IFS(MAIN!$G$4="SA36","sa36",MAIN!$G$4=304,304,MAIN!$G$4=316,304)</f>
        <v>#N/A</v>
      </c>
      <c r="F110" s="38">
        <f>C110*12*24*IF(MAIN!$G$4="sa36",15.32,16.5)/144*IF(MAIN!$G$4="sa36",[1]Plate!$C$34,[1]Plate!$I$7)</f>
        <v>0</v>
      </c>
      <c r="G110" s="6">
        <f>G109</f>
        <v>0</v>
      </c>
    </row>
    <row r="111" spans="1:7" ht="15.75" x14ac:dyDescent="0.5">
      <c r="A111">
        <v>107</v>
      </c>
      <c r="B111" s="32" t="s">
        <v>340</v>
      </c>
      <c r="C111" s="5">
        <f>IF(MAIN!F18="YES",MAIN!A18,)</f>
        <v>0</v>
      </c>
      <c r="D111" s="5" t="str">
        <f>CONCATENATE(MAIN!$C$11,", ",MAIN!$C$12,", ",MAIN!$G$12)</f>
        <v>Garlock 3000, SA193-B7, SA193-2H</v>
      </c>
      <c r="E111" s="5"/>
      <c r="F111" s="5" cm="1">
        <f t="array" ref="F111">C111*_xlfn.IFS(MAIN!B18&lt;3.1,150,MAIN!B18&lt;6.1,200,MAIN!B18&lt;10.1,300,MAIN!B18&lt;16.1,500,MAIN!B18&lt;31,750)</f>
        <v>0</v>
      </c>
      <c r="G111" s="6">
        <f>C111*2</f>
        <v>0</v>
      </c>
    </row>
    <row r="112" spans="1:7" ht="15.75" x14ac:dyDescent="0.5">
      <c r="A112">
        <v>108</v>
      </c>
      <c r="B112" s="32" t="s">
        <v>127</v>
      </c>
      <c r="C112" s="5">
        <f>MAIN!$A$19</f>
        <v>0</v>
      </c>
      <c r="D112" s="5" t="str">
        <f>CONCATENATE(MAIN!$B$19," ", MAIN!$E$19," ",MAIN!$C$19)</f>
        <v xml:space="preserve"> 150# RFSO</v>
      </c>
      <c r="E112" s="5" t="e" cm="1">
        <f t="array" ref="E112">IF(MAIN!P54="API",MAIN!G28,_xlfn.IFS(MAIN!$G$4="sa36",[1]master!$AK$184,MAIN!G$4=304,[1]master!$BJ$185,MAIN!$G$4=316,[1]master!$CJ$184))</f>
        <v>#N/A</v>
      </c>
      <c r="F112" s="72" t="e" cm="1">
        <f t="array" ref="F112">VLOOKUP(MAIN!B19,Nozzles!$K$31:$T$47,_xlfn.IFS(AND(MAIN!$G$4="sa36",MAIN!C19="rfso"),2,AND(MAIN!$G$4="sa36",MAIN!C19="rfwn"),3,AND(MAIN!$G$4=304,MAIN!C19="rfso"),5,AND(MAIN!$G$4=304,MAIN!C19="rfwn"),6,AND(MAIN!$G$4=316,MAIN!C19="rfso"),8,AND(MAIN!$G$4=316,MAIN!C19="rfwn"),9),FALSE)*C112</f>
        <v>#N/A</v>
      </c>
      <c r="G112" s="6" t="e" cm="1">
        <f t="array" ref="G112">$C112*VLOOKUP(MAIN!$O$5,Nozzles!$A$2:$P$6,_xlfn.IFS(MAIN!$B19=0.5,2,MAIN!$B19=1,2,MAIN!$B19=1.5,3,MAIN!$B19=2,3,MAIN!$B19=3,4,MAIN!$B19=4,5,MAIN!$B19=5,6,MAIN!$B19=6,7,MAIN!$B19=8,8,MAIN!$B19=10,9,MAIN!$B19=12,10,MAIN!$B19=14,11,MAIN!$B19=16,12,MAIN!$B19=18,13,MAIN!$B19=20,14,MAIN!$B19=24,15,MAIN!$B19=30,16),FALSE)</f>
        <v>#N/A</v>
      </c>
    </row>
    <row r="113" spans="1:7" ht="15.75" x14ac:dyDescent="0.5">
      <c r="A113">
        <v>109</v>
      </c>
      <c r="B113" s="32" t="s">
        <v>128</v>
      </c>
      <c r="C113" s="5">
        <f>MAIN!$A$19</f>
        <v>0</v>
      </c>
      <c r="D113" s="5" t="str">
        <f>CONCATENATE(MAIN!$B$19," ",MAIN!$D$19," X ",MAIN!$H$19)</f>
        <v xml:space="preserve"> SCH40 X 1</v>
      </c>
      <c r="E113" s="5" t="e" cm="1">
        <f t="array" ref="E113">_xlfn.IFS(MAIN!$G$4="sa36",[1]master!$AB$96,MAIN!G$4=304,[1]master!$BA$96,MAIN!$G$4=316,[1]master!$CA$94)</f>
        <v>#N/A</v>
      </c>
      <c r="F113" s="5" t="e" cm="1">
        <f t="array" ref="F113">C113*IF(MAIN!$B$19&gt;13,VLOOKUP(MAIN!$B$19,Nozzles!$A$11:$F$16,_xlfn.IFS(MAIN!$O$5=0.1875,2,MAIN!$O$5=0.25,3,MAIN!$O$5=0.3125,4,MAIN!$O$5=0.375,5,MAIN!$O$5=0.5,6),FALSE),VLOOKUP(MAIN!$B$19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$19</f>
        <v>#N/A</v>
      </c>
      <c r="G113" s="6" t="str">
        <f>IF(MAIN!H19=1,"-",MAIN!A19*1)</f>
        <v>-</v>
      </c>
    </row>
    <row r="114" spans="1:7" ht="15.75" x14ac:dyDescent="0.5">
      <c r="A114">
        <v>110</v>
      </c>
      <c r="B114" s="32" t="s">
        <v>129</v>
      </c>
      <c r="C114" s="5">
        <f>IF(MAIN!$F$19="YES",MAIN!$A$19,)</f>
        <v>0</v>
      </c>
      <c r="D114" s="5" t="str">
        <f>CONCATENATE(MAIN!$B$19," ",MAIN!$E$19," BLIND")</f>
        <v xml:space="preserve"> 150# BLIND</v>
      </c>
      <c r="E114" s="5" t="e" cm="1">
        <f t="array" ref="E114">IF(MAIN!P56="API",MAIN!G30,_xlfn.IFS(MAIN!$G$4="sa36",[1]master!$AK$184,MAIN!G$4=304,[1]master!$BJ$185,MAIN!$G$4=316,[1]master!$CJ$184))</f>
        <v>#N/A</v>
      </c>
      <c r="F114" s="72" t="e" cm="1">
        <f t="array" ref="F114">C114*VLOOKUP(MAIN!B19,Nozzles!$K$31:$T$47,_xlfn.IFS(MAIN!$G$4="sa36",4,MAIN!$G$4=304,7,MAIN!$G$4=316,10),FALSE)</f>
        <v>#N/A</v>
      </c>
      <c r="G114" s="6" t="s">
        <v>232</v>
      </c>
    </row>
    <row r="115" spans="1:7" ht="15.75" x14ac:dyDescent="0.5">
      <c r="A115">
        <v>111</v>
      </c>
      <c r="B115" s="32" t="s">
        <v>130</v>
      </c>
      <c r="C115" s="5">
        <f>IF(MAIN!$G$19="YES",MAIN!$A$19,)</f>
        <v>0</v>
      </c>
      <c r="D115" s="5" t="str">
        <f>CONCATENATE("3/8 X ",MAIN!$B$19*2," DIA")</f>
        <v>3/8 X 0 DIA</v>
      </c>
      <c r="E115" s="5" t="e" cm="1">
        <f t="array" ref="E115">_xlfn.IFS(MAIN!$G$4="SA36","sa36",MAIN!$G$4=304,304,MAIN!$G$4=316,304)</f>
        <v>#N/A</v>
      </c>
      <c r="F115" s="38">
        <f>(MAIN!B19*2)*(MAIN!B19*2)*IF(MAIN!$G$4="sa36",15.32,16.5)/144*IF(MAIN!$G$4="sa36",[1]Plate!$C$34,[1]Plate!$I$7)*C115</f>
        <v>0</v>
      </c>
      <c r="G115" s="6" cm="1">
        <f t="array" ref="G115">_xlfn.IFS(MAIN!B19&lt;11,3,MAIN!B19&lt;19,4,MAIN!B19&lt;25,5,MAIN!B19&gt;25,6)*C115</f>
        <v>0</v>
      </c>
    </row>
    <row r="116" spans="1:7" ht="15.75" x14ac:dyDescent="0.5">
      <c r="A116">
        <v>112</v>
      </c>
      <c r="B116" s="32" t="s">
        <v>131</v>
      </c>
      <c r="C116" s="5" cm="1">
        <f t="array" ref="C116">IF(MAIN!$G$19="YES",_xlfn.IFS(MAIN!$B$19&lt;9,4,MAIN!$B$19&lt;15,6,MAIN!$B$19&lt;19,8,MAIN!$B$19&lt;31,10),)</f>
        <v>0</v>
      </c>
      <c r="D116" s="5" t="str">
        <f>CONCATENATE("3/8 X 12 X 24")</f>
        <v>3/8 X 12 X 24</v>
      </c>
      <c r="E116" s="5" t="e" cm="1">
        <f t="array" ref="E116">_xlfn.IFS(MAIN!$G$4="SA36","sa36",MAIN!$G$4=304,304,MAIN!$G$4=316,304)</f>
        <v>#N/A</v>
      </c>
      <c r="F116" s="38">
        <f>C116*12*24*IF(MAIN!$G$4="sa36",15.32,16.5)/144*IF(MAIN!$G$4="sa36",[1]Plate!$C$34,[1]Plate!$I$7)</f>
        <v>0</v>
      </c>
      <c r="G116" s="6">
        <f>G115</f>
        <v>0</v>
      </c>
    </row>
    <row r="117" spans="1:7" ht="15.75" x14ac:dyDescent="0.5">
      <c r="A117">
        <v>113</v>
      </c>
      <c r="B117" s="32" t="s">
        <v>341</v>
      </c>
      <c r="C117" s="5">
        <f>IF(MAIN!F19="YES",MAIN!A19,)</f>
        <v>0</v>
      </c>
      <c r="D117" s="5" t="str">
        <f>CONCATENATE(MAIN!$C$11,", ",MAIN!$C$12,", ",MAIN!$G$12)</f>
        <v>Garlock 3000, SA193-B7, SA193-2H</v>
      </c>
      <c r="E117" s="5"/>
      <c r="F117" s="5" cm="1">
        <f t="array" ref="F117">C117*_xlfn.IFS(MAIN!B19&lt;3.1,150,MAIN!B19&lt;6.1,200,MAIN!B19&lt;10.1,300,MAIN!B19&lt;16.1,500,MAIN!B19&lt;31,750)</f>
        <v>0</v>
      </c>
      <c r="G117" s="6">
        <f>C117*2</f>
        <v>0</v>
      </c>
    </row>
    <row r="118" spans="1:7" ht="15.75" x14ac:dyDescent="0.5">
      <c r="A118">
        <v>114</v>
      </c>
      <c r="B118" s="32" t="s">
        <v>132</v>
      </c>
      <c r="C118" s="5">
        <f>MAIN!$A$20</f>
        <v>0</v>
      </c>
      <c r="D118" s="5" t="str">
        <f>CONCATENATE(MAIN!$B$20," ", MAIN!$E$20," ",MAIN!$C$20)</f>
        <v xml:space="preserve"> 150# RFSO</v>
      </c>
      <c r="E118" s="5" t="e" cm="1">
        <f t="array" ref="E118">IF(MAIN!P60="API",MAIN!G34,_xlfn.IFS(MAIN!$G$4="sa36",[1]master!$AK$184,MAIN!G$4=304,[1]master!$BJ$185,MAIN!$G$4=316,[1]master!$CJ$184))</f>
        <v>#N/A</v>
      </c>
      <c r="F118" s="72" t="e" cm="1">
        <f t="array" ref="F118">VLOOKUP(MAIN!B20,Nozzles!$K$31:$T$47,_xlfn.IFS(AND(MAIN!$G$4="sa36",MAIN!C20="rfso"),2,AND(MAIN!$G$4="sa36",MAIN!C20="rfwn"),3,AND(MAIN!$G$4=304,MAIN!C20="rfso"),5,AND(MAIN!$G$4=304,MAIN!C20="rfwn"),6,AND(MAIN!$G$4=316,MAIN!C20="rfso"),8,AND(MAIN!$G$4=316,MAIN!C20="rfwn"),9),FALSE)*C118</f>
        <v>#N/A</v>
      </c>
      <c r="G118" s="6" t="e" cm="1">
        <f t="array" ref="G118">$C118*VLOOKUP(MAIN!$O$5,Nozzles!$A$2:$P$6,_xlfn.IFS(MAIN!$B20=0.5,2,MAIN!$B20=1,2,MAIN!$B20=1.5,3,MAIN!$B20=2,3,MAIN!$B20=3,4,MAIN!$B20=4,5,MAIN!$B20=5,6,MAIN!$B20=6,7,MAIN!$B20=8,8,MAIN!$B20=10,9,MAIN!$B20=12,10,MAIN!$B20=14,11,MAIN!$B20=16,12,MAIN!$B20=18,13,MAIN!$B20=20,14,MAIN!$B20=24,15,MAIN!$B20=30,16),FALSE)</f>
        <v>#N/A</v>
      </c>
    </row>
    <row r="119" spans="1:7" ht="15.75" x14ac:dyDescent="0.5">
      <c r="A119">
        <v>115</v>
      </c>
      <c r="B119" s="32" t="s">
        <v>133</v>
      </c>
      <c r="C119" s="5">
        <f>MAIN!$A$20</f>
        <v>0</v>
      </c>
      <c r="D119" s="5" t="str">
        <f>CONCATENATE(MAIN!$B$20," ",MAIN!$D$20," X ",MAIN!$H$20)</f>
        <v xml:space="preserve"> SCH40 X 1</v>
      </c>
      <c r="E119" s="5" t="e" cm="1">
        <f t="array" ref="E119">_xlfn.IFS(MAIN!$G$4="sa36",[1]master!$AB$96,MAIN!G$4=304,[1]master!$BA$96,MAIN!$G$4=316,[1]master!$CA$94)</f>
        <v>#N/A</v>
      </c>
      <c r="F119" s="5" t="e" cm="1">
        <f t="array" ref="F119">C119*IF(MAIN!$B$20&gt;13,VLOOKUP(MAIN!$B$20,Nozzles!$A$11:$F$16,_xlfn.IFS(MAIN!$O$5=0.1875,2,MAIN!$O$5=0.25,3,MAIN!$O$5=0.3125,4,MAIN!$O$5=0.375,5,MAIN!$O$5=0.5,6),FALSE),VLOOKUP(MAIN!$B$20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$20</f>
        <v>#N/A</v>
      </c>
      <c r="G119" s="6" t="str">
        <f>IF(MAIN!H20=1,"-",MAIN!A20*1)</f>
        <v>-</v>
      </c>
    </row>
    <row r="120" spans="1:7" ht="15.75" x14ac:dyDescent="0.5">
      <c r="A120">
        <v>116</v>
      </c>
      <c r="B120" s="32" t="s">
        <v>134</v>
      </c>
      <c r="C120" s="5">
        <f>IF(MAIN!$F$20="YES",MAIN!$A$20,)</f>
        <v>0</v>
      </c>
      <c r="D120" s="5" t="str">
        <f>CONCATENATE(MAIN!$B$20," ",MAIN!$E$20," BLIND")</f>
        <v xml:space="preserve"> 150# BLIND</v>
      </c>
      <c r="E120" s="5" t="e" cm="1">
        <f t="array" ref="E120">IF(MAIN!P62="API",MAIN!G36,_xlfn.IFS(MAIN!$G$4="sa36",[1]master!$AK$184,MAIN!G$4=304,[1]master!$BJ$185,MAIN!$G$4=316,[1]master!$CJ$184))</f>
        <v>#N/A</v>
      </c>
      <c r="F120" s="72" t="e" cm="1">
        <f t="array" ref="F120">C120*VLOOKUP(MAIN!B20,Nozzles!$K$31:$T$47,_xlfn.IFS(MAIN!$G$4="sa36",4,MAIN!$G$4=304,7,MAIN!$G$4=316,10),FALSE)</f>
        <v>#N/A</v>
      </c>
      <c r="G120" s="6" t="s">
        <v>232</v>
      </c>
    </row>
    <row r="121" spans="1:7" ht="15.75" x14ac:dyDescent="0.5">
      <c r="A121">
        <v>117</v>
      </c>
      <c r="B121" s="32" t="s">
        <v>135</v>
      </c>
      <c r="C121" s="5">
        <f>IF(MAIN!$G$20="YES",MAIN!$A$20,)</f>
        <v>0</v>
      </c>
      <c r="D121" s="5" t="str">
        <f>CONCATENATE("3/8 X ",MAIN!$B$20*2," DIA")</f>
        <v>3/8 X 0 DIA</v>
      </c>
      <c r="E121" s="5" t="e" cm="1">
        <f t="array" ref="E121">_xlfn.IFS(MAIN!$G$4="SA36","sa36",MAIN!$G$4=304,304,MAIN!$G$4=316,304)</f>
        <v>#N/A</v>
      </c>
      <c r="F121" s="38">
        <f>(MAIN!B20*2)*(MAIN!B20*2)*IF(MAIN!$G$4="sa36",15.32,16.5)/144*IF(MAIN!$G$4="sa36",[1]Plate!$C$34,[1]Plate!$I$7)*C121</f>
        <v>0</v>
      </c>
      <c r="G121" s="6" cm="1">
        <f t="array" ref="G121">_xlfn.IFS(MAIN!B20&lt;11,3,MAIN!B20&lt;19,4,MAIN!B20&lt;25,5,MAIN!B20&gt;25,6)*C121</f>
        <v>0</v>
      </c>
    </row>
    <row r="122" spans="1:7" ht="15.75" x14ac:dyDescent="0.5">
      <c r="A122">
        <v>118</v>
      </c>
      <c r="B122" s="32" t="s">
        <v>136</v>
      </c>
      <c r="C122" s="5" cm="1">
        <f t="array" ref="C122">IF(MAIN!$G$20="YES",_xlfn.IFS(MAIN!$B$20&lt;9,4,MAIN!$B$20&lt;15,6,MAIN!$B$20&lt;19,8,MAIN!$B$20&lt;31,10),)</f>
        <v>0</v>
      </c>
      <c r="D122" s="5" t="str">
        <f>CONCATENATE("3/8 X 12 X 24")</f>
        <v>3/8 X 12 X 24</v>
      </c>
      <c r="E122" s="5" t="e" cm="1">
        <f t="array" ref="E122">_xlfn.IFS(MAIN!$G$4="SA36","sa36",MAIN!$G$4=304,304,MAIN!$G$4=316,304)</f>
        <v>#N/A</v>
      </c>
      <c r="F122" s="38">
        <f>C122*12*24*IF(MAIN!$G$4="sa36",15.32,16.5)/144*IF(MAIN!$G$4="sa36",[1]Plate!$C$34,[1]Plate!$I$7)</f>
        <v>0</v>
      </c>
      <c r="G122" s="6">
        <f>G121</f>
        <v>0</v>
      </c>
    </row>
    <row r="123" spans="1:7" ht="15.75" x14ac:dyDescent="0.5">
      <c r="A123">
        <v>119</v>
      </c>
      <c r="B123" s="32" t="s">
        <v>342</v>
      </c>
      <c r="C123" s="5">
        <f>IF(MAIN!F20="YES",MAIN!A20,)</f>
        <v>0</v>
      </c>
      <c r="D123" s="5" t="str">
        <f>CONCATENATE(MAIN!$C$11,", ",MAIN!$C$12,", ",MAIN!$G$12)</f>
        <v>Garlock 3000, SA193-B7, SA193-2H</v>
      </c>
      <c r="E123" s="5"/>
      <c r="F123" s="5" cm="1">
        <f t="array" ref="F123">C123*_xlfn.IFS(MAIN!B20&lt;3.1,150,MAIN!B20&lt;6.1,200,MAIN!B20&lt;10.1,300,MAIN!B20&lt;16.1,500,MAIN!B20&lt;31,750)</f>
        <v>0</v>
      </c>
      <c r="G123" s="6">
        <f>C123*2</f>
        <v>0</v>
      </c>
    </row>
    <row r="124" spans="1:7" ht="15.75" x14ac:dyDescent="0.5">
      <c r="A124">
        <v>120</v>
      </c>
      <c r="B124" s="32" t="s">
        <v>137</v>
      </c>
      <c r="C124" s="5">
        <f>MAIN!$A$21</f>
        <v>0</v>
      </c>
      <c r="D124" s="5" t="str">
        <f>CONCATENATE(MAIN!$B$21," ", MAIN!$E$21," ",MAIN!$C$21)</f>
        <v xml:space="preserve"> 150# RFSO</v>
      </c>
      <c r="E124" s="5" t="e" cm="1">
        <f t="array" ref="E124">IF(MAIN!P66="API",MAIN!G40,_xlfn.IFS(MAIN!$G$4="sa36",[1]master!$AK$184,MAIN!G$4=304,[1]master!$BJ$185,MAIN!$G$4=316,[1]master!$CJ$184))</f>
        <v>#N/A</v>
      </c>
      <c r="F124" s="72" t="e" cm="1">
        <f t="array" ref="F124">VLOOKUP(MAIN!B21,Nozzles!$K$31:$T$47,_xlfn.IFS(AND(MAIN!$G$4="sa36",MAIN!C21="rfso"),2,AND(MAIN!$G$4="sa36",MAIN!C21="rfwn"),3,AND(MAIN!$G$4=304,MAIN!C21="rfso"),5,AND(MAIN!$G$4=304,MAIN!C21="rfwn"),6,AND(MAIN!$G$4=316,MAIN!C21="rfso"),8,AND(MAIN!$G$4=316,MAIN!C21="rfwn"),9),FALSE)*C92</f>
        <v>#N/A</v>
      </c>
      <c r="G124" s="6" t="e" cm="1">
        <f t="array" ref="G124">$C92*VLOOKUP(MAIN!$O$5,Nozzles!$A$2:$P$6,_xlfn.IFS(MAIN!$B21=0.5,2,MAIN!$B21=1,2,MAIN!$B21=1.5,3,MAIN!$B21=2,3,MAIN!$B21=3,4,MAIN!$B21=4,5,MAIN!$B21=5,6,MAIN!$B21=6,7,MAIN!$B21=8,8,MAIN!$B21=10,9,MAIN!$B21=12,10,MAIN!$B21=14,11,MAIN!$B21=16,12,MAIN!$B21=18,13,MAIN!$B21=20,14,MAIN!$B21=24,15,MAIN!$B21=30,16),FALSE)</f>
        <v>#N/A</v>
      </c>
    </row>
    <row r="125" spans="1:7" ht="15.75" x14ac:dyDescent="0.5">
      <c r="A125">
        <v>121</v>
      </c>
      <c r="B125" s="32" t="s">
        <v>138</v>
      </c>
      <c r="C125" s="5">
        <f>MAIN!$A$21</f>
        <v>0</v>
      </c>
      <c r="D125" s="5" t="str">
        <f>CONCATENATE(MAIN!$B$21," ",MAIN!$D$21," X ",MAIN!$H$21)</f>
        <v xml:space="preserve"> SCH40 X 1</v>
      </c>
      <c r="E125" s="5" t="e" cm="1">
        <f t="array" ref="E125">_xlfn.IFS(MAIN!$G$4="sa36",[1]master!$AB$96,MAIN!G$4=304,[1]master!$BA$96,MAIN!$G$4=316,[1]master!$CA$94)</f>
        <v>#N/A</v>
      </c>
      <c r="F125" s="5" t="e" cm="1">
        <f t="array" ref="F125">C125*IF(MAIN!$B$21&gt;13,VLOOKUP(MAIN!$B$21,Nozzles!$A$11:$F$16,_xlfn.IFS(MAIN!$O$5=0.1875,2,MAIN!$O$5=0.25,3,MAIN!$O$5=0.3125,4,MAIN!$O$5=0.375,5,MAIN!$O$5=0.5,6),FALSE),VLOOKUP(MAIN!$B$21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$21</f>
        <v>#N/A</v>
      </c>
      <c r="G125" s="6" t="str">
        <f>IF(MAIN!H21=1,"-",MAIN!A21*1)</f>
        <v>-</v>
      </c>
    </row>
    <row r="126" spans="1:7" ht="15.75" x14ac:dyDescent="0.5">
      <c r="A126">
        <v>122</v>
      </c>
      <c r="B126" s="32" t="s">
        <v>139</v>
      </c>
      <c r="C126" s="5">
        <f>IF(MAIN!$F$21="YES",MAIN!$A$21,)</f>
        <v>0</v>
      </c>
      <c r="D126" s="5" t="str">
        <f>CONCATENATE(MAIN!$B$21," ",MAIN!$E$21," BLIND")</f>
        <v xml:space="preserve"> 150# BLIND</v>
      </c>
      <c r="E126" s="5" t="e" cm="1">
        <f t="array" ref="E126">IF(MAIN!P68="API",MAIN!G42,_xlfn.IFS(MAIN!$G$4="sa36",[1]master!$AK$184,MAIN!G$4=304,[1]master!$BJ$185,MAIN!$G$4=316,[1]master!$CJ$184))</f>
        <v>#N/A</v>
      </c>
      <c r="F126" s="72" t="e" cm="1">
        <f t="array" ref="F126">C126*VLOOKUP(MAIN!B21,Nozzles!$K$31:$T$47,_xlfn.IFS(MAIN!$G$4="sa36",4,MAIN!$G$4=304,7,MAIN!$G$4=316,10),FALSE)</f>
        <v>#N/A</v>
      </c>
      <c r="G126" s="6" t="s">
        <v>232</v>
      </c>
    </row>
    <row r="127" spans="1:7" ht="15.75" x14ac:dyDescent="0.5">
      <c r="A127">
        <v>123</v>
      </c>
      <c r="B127" s="32" t="s">
        <v>140</v>
      </c>
      <c r="C127" s="5">
        <f>IF(MAIN!$G$21="YES",MAIN!$A$21,)</f>
        <v>0</v>
      </c>
      <c r="D127" s="5" t="str">
        <f>CONCATENATE("3/8 X ",MAIN!$B$21*2," DIA")</f>
        <v>3/8 X 0 DIA</v>
      </c>
      <c r="E127" s="5" t="e" cm="1">
        <f t="array" ref="E127">_xlfn.IFS(MAIN!$G$4="SA36","sa36",MAIN!$G$4=304,304,MAIN!$G$4=316,304)</f>
        <v>#N/A</v>
      </c>
      <c r="F127" s="38">
        <f>(MAIN!B21*2)*(MAIN!B21*2)*IF(MAIN!$G$4="sa36",15.32,16.5)/144*IF(MAIN!$G$4="sa36",[1]Plate!$C$34,[1]Plate!$I$7)*C127</f>
        <v>0</v>
      </c>
      <c r="G127" s="6" cm="1">
        <f t="array" ref="G127">_xlfn.IFS(MAIN!B21&lt;11,3,MAIN!B21&lt;19,4,MAIN!B21&lt;25,5,MAIN!B21&gt;25,6)*C127</f>
        <v>0</v>
      </c>
    </row>
    <row r="128" spans="1:7" ht="15.75" x14ac:dyDescent="0.5">
      <c r="A128">
        <v>124</v>
      </c>
      <c r="B128" s="32" t="s">
        <v>141</v>
      </c>
      <c r="C128" s="5" cm="1">
        <f t="array" ref="C128">IF(MAIN!$G$21="YES",_xlfn.IFS(MAIN!$B$21&lt;9,4,MAIN!$B$21&lt;15,6,MAIN!$B$21&lt;19,8,MAIN!$B$21&lt;31,10),)</f>
        <v>0</v>
      </c>
      <c r="D128" s="5" t="str">
        <f>CONCATENATE("3/8 X 12 X 24")</f>
        <v>3/8 X 12 X 24</v>
      </c>
      <c r="E128" s="5" t="e" cm="1">
        <f t="array" ref="E128">_xlfn.IFS(MAIN!$G$4="SA36","sa36",MAIN!$G$4=304,304,MAIN!$G$4=316,304)</f>
        <v>#N/A</v>
      </c>
      <c r="F128" s="38">
        <f>C128*12*24*IF(MAIN!$G$4="sa36",15.32,16.5)/144*IF(MAIN!$G$4="sa36",[1]Plate!$C$34,[1]Plate!$I$7)</f>
        <v>0</v>
      </c>
      <c r="G128" s="6">
        <f>G127</f>
        <v>0</v>
      </c>
    </row>
    <row r="129" spans="1:7" ht="15.75" x14ac:dyDescent="0.5">
      <c r="A129">
        <v>125</v>
      </c>
      <c r="B129" s="32" t="s">
        <v>343</v>
      </c>
      <c r="C129" s="5">
        <f>IF(MAIN!F21="YES",MAIN!A21,)</f>
        <v>0</v>
      </c>
      <c r="D129" s="5" t="str">
        <f>CONCATENATE(MAIN!$C$11,", ",MAIN!$C$12,", ",MAIN!$G$12)</f>
        <v>Garlock 3000, SA193-B7, SA193-2H</v>
      </c>
      <c r="E129" s="5"/>
      <c r="F129" s="5" cm="1">
        <f t="array" ref="F129">C129*_xlfn.IFS(MAIN!B21&lt;3.1,150,MAIN!B21&lt;6.1,200,MAIN!B21&lt;10.1,300,MAIN!B21&lt;16.1,500,MAIN!B21&lt;31,750)</f>
        <v>0</v>
      </c>
      <c r="G129" s="6">
        <f>C129*2</f>
        <v>0</v>
      </c>
    </row>
    <row r="130" spans="1:7" ht="15.75" x14ac:dyDescent="0.5">
      <c r="A130">
        <v>126</v>
      </c>
      <c r="B130" s="32" t="s">
        <v>142</v>
      </c>
      <c r="C130" s="5">
        <f>MAIN!$A$22</f>
        <v>0</v>
      </c>
      <c r="D130" s="5" t="str">
        <f>CONCATENATE(MAIN!$B$22," ", MAIN!$E$22," ",MAIN!$C$22)</f>
        <v xml:space="preserve"> 150# RFSO</v>
      </c>
      <c r="E130" s="5" t="e" cm="1">
        <f t="array" ref="E130">IF(MAIN!P72="API",MAIN!G46,_xlfn.IFS(MAIN!$G$4="sa36",[1]master!$AK$184,MAIN!G$4=304,[1]master!$BJ$185,MAIN!$G$4=316,[1]master!$CJ$184))</f>
        <v>#N/A</v>
      </c>
      <c r="F130" s="72" t="e" cm="1">
        <f t="array" ref="F130">VLOOKUP(MAIN!B22,Nozzles!$K$31:$T$47,_xlfn.IFS(AND(MAIN!$G$4="sa36",MAIN!C22="rfso"),2,AND(MAIN!$G$4="sa36",MAIN!C22="rfwn"),3,AND(MAIN!$G$4=304,MAIN!C22="rfso"),5,AND(MAIN!$G$4=304,MAIN!C22="rfwn"),6,AND(MAIN!$G$4=316,MAIN!C22="rfso"),8,AND(MAIN!$G$4=316,MAIN!C22="rfwn"),9),FALSE)*C130</f>
        <v>#N/A</v>
      </c>
      <c r="G130" s="6" t="e" cm="1">
        <f t="array" ref="G130">$C130*VLOOKUP(MAIN!$O$5,Nozzles!$A$2:$P$6,_xlfn.IFS(MAIN!$B22=0.5,2,MAIN!$B22=1,2,MAIN!$B22=1.5,3,MAIN!$B22=2,3,MAIN!$B22=3,4,MAIN!$B22=4,5,MAIN!$B22=5,6,MAIN!$B22=6,7,MAIN!$B22=8,8,MAIN!$B22=10,9,MAIN!$B22=12,10,MAIN!$B22=14,11,MAIN!$B22=16,12,MAIN!$B22=18,13,MAIN!$B22=20,14,MAIN!$B22=24,15,MAIN!$B22=30,16),FALSE)</f>
        <v>#N/A</v>
      </c>
    </row>
    <row r="131" spans="1:7" ht="15.75" x14ac:dyDescent="0.5">
      <c r="A131">
        <v>127</v>
      </c>
      <c r="B131" s="32" t="s">
        <v>143</v>
      </c>
      <c r="C131" s="5">
        <f>MAIN!$A$22</f>
        <v>0</v>
      </c>
      <c r="D131" s="5" t="str">
        <f>CONCATENATE(MAIN!$B$22," ",MAIN!$D$22," X ",MAIN!$H$22)</f>
        <v xml:space="preserve"> SCH40 X 1</v>
      </c>
      <c r="E131" s="5" t="e" cm="1">
        <f t="array" ref="E131">_xlfn.IFS(MAIN!$G$4="sa36",[1]master!$AB$96,MAIN!G$4=304,[1]master!$BA$96,MAIN!$G$4=316,[1]master!$CA$94)</f>
        <v>#N/A</v>
      </c>
      <c r="F131" s="5" t="e" cm="1">
        <f t="array" ref="F131">C131*IF(MAIN!$B$22&gt;13,VLOOKUP(MAIN!$B$22,Nozzles!$A$11:$F$16,_xlfn.IFS(MAIN!$O$5=0.1875,2,MAIN!$O$5=0.25,3,MAIN!$O$5=0.3125,4,MAIN!$O$5=0.375,5,MAIN!$O$5=0.5,6),FALSE),VLOOKUP(MAIN!$B$22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$22</f>
        <v>#N/A</v>
      </c>
      <c r="G131" s="6" t="str">
        <f>IF(MAIN!H22=1,"-",MAIN!A22*1)</f>
        <v>-</v>
      </c>
    </row>
    <row r="132" spans="1:7" ht="15.75" x14ac:dyDescent="0.5">
      <c r="A132">
        <v>128</v>
      </c>
      <c r="B132" s="32" t="s">
        <v>144</v>
      </c>
      <c r="C132" s="5">
        <f>IF(MAIN!$F$22="YES",MAIN!$A$22,)</f>
        <v>0</v>
      </c>
      <c r="D132" s="5" t="str">
        <f>CONCATENATE(MAIN!$B$22," ",MAIN!$E$22," BLIND")</f>
        <v xml:space="preserve"> 150# BLIND</v>
      </c>
      <c r="E132" s="5" t="e" cm="1">
        <f t="array" ref="E132">IF(MAIN!P74="API",MAIN!G48,_xlfn.IFS(MAIN!$G$4="sa36",[1]master!$AK$184,MAIN!G$4=304,[1]master!$BJ$185,MAIN!$G$4=316,[1]master!$CJ$184))</f>
        <v>#N/A</v>
      </c>
      <c r="F132" s="72" t="e" cm="1">
        <f t="array" ref="F132">C132*VLOOKUP(MAIN!B22,Nozzles!$K$31:$T$47,_xlfn.IFS(MAIN!$G$4="sa36",4,MAIN!$G$4=304,7,MAIN!$G$4=316,10),FALSE)</f>
        <v>#N/A</v>
      </c>
      <c r="G132" s="6" t="s">
        <v>232</v>
      </c>
    </row>
    <row r="133" spans="1:7" ht="15.75" x14ac:dyDescent="0.5">
      <c r="A133">
        <v>129</v>
      </c>
      <c r="B133" s="32" t="s">
        <v>145</v>
      </c>
      <c r="C133" s="5">
        <f>IF(MAIN!$G$22="YES",MAIN!$A$22,)</f>
        <v>0</v>
      </c>
      <c r="D133" s="5" t="str">
        <f>CONCATENATE("3/8 X ",MAIN!$B$22*2," DIA")</f>
        <v>3/8 X 0 DIA</v>
      </c>
      <c r="E133" s="5" t="e" cm="1">
        <f t="array" ref="E133">_xlfn.IFS(MAIN!$G$4="SA36","sa36",MAIN!$G$4=304,304,MAIN!$G$4=316,304)</f>
        <v>#N/A</v>
      </c>
      <c r="F133" s="38">
        <f>(MAIN!B22*2)*(MAIN!B22*2)*IF(MAIN!$G$4="sa36",15.32,16.5)/144*IF(MAIN!$G$4="sa36",[1]Plate!$C$34,[1]Plate!$I$7)*C133</f>
        <v>0</v>
      </c>
      <c r="G133" s="6" cm="1">
        <f t="array" ref="G133">_xlfn.IFS(MAIN!B22&lt;11,3,MAIN!B22&lt;19,4,MAIN!B22&lt;25,5,MAIN!B22&gt;25,6)*C133</f>
        <v>0</v>
      </c>
    </row>
    <row r="134" spans="1:7" ht="15.75" x14ac:dyDescent="0.5">
      <c r="A134">
        <v>130</v>
      </c>
      <c r="B134" s="32" t="s">
        <v>146</v>
      </c>
      <c r="C134" s="5" cm="1">
        <f t="array" ref="C134">IF(MAIN!$G$22="YES",_xlfn.IFS(MAIN!$B$22&lt;9,4,MAIN!$B$22&lt;15,6,MAIN!$B$22&lt;19,8,MAIN!$B$22&lt;31,10),)</f>
        <v>0</v>
      </c>
      <c r="D134" s="5" t="str">
        <f>CONCATENATE("3/8 X 12 X 24")</f>
        <v>3/8 X 12 X 24</v>
      </c>
      <c r="E134" s="5" t="e" cm="1">
        <f t="array" ref="E134">_xlfn.IFS(MAIN!$G$4="SA36","sa36",MAIN!$G$4=304,304,MAIN!$G$4=316,304)</f>
        <v>#N/A</v>
      </c>
      <c r="F134" s="38">
        <f>C134*12*24*IF(MAIN!$G$4="sa36",15.32,16.5)/144*IF(MAIN!$G$4="sa36",[1]Plate!$C$34,[1]Plate!$I$7)</f>
        <v>0</v>
      </c>
      <c r="G134" s="6">
        <f>G133</f>
        <v>0</v>
      </c>
    </row>
    <row r="135" spans="1:7" ht="15.75" x14ac:dyDescent="0.5">
      <c r="A135">
        <v>131</v>
      </c>
      <c r="B135" s="32" t="s">
        <v>344</v>
      </c>
      <c r="C135" s="5">
        <f>IF(MAIN!F22="YES",MAIN!A22,)</f>
        <v>0</v>
      </c>
      <c r="D135" s="5" t="str">
        <f>CONCATENATE(MAIN!$C$11,", ",MAIN!$C$12,", ",MAIN!$G$12)</f>
        <v>Garlock 3000, SA193-B7, SA193-2H</v>
      </c>
      <c r="E135" s="5"/>
      <c r="F135" s="5" cm="1">
        <f t="array" ref="F135">C135*_xlfn.IFS(MAIN!B22&lt;3.1,150,MAIN!B22&lt;6.1,200,MAIN!B22&lt;10.1,300,MAIN!B22&lt;16.1,500,MAIN!B22&lt;31,750)</f>
        <v>0</v>
      </c>
      <c r="G135" s="6">
        <f>C135*2</f>
        <v>0</v>
      </c>
    </row>
    <row r="136" spans="1:7" ht="15.75" x14ac:dyDescent="0.5">
      <c r="A136">
        <v>132</v>
      </c>
      <c r="B136" s="32" t="s">
        <v>147</v>
      </c>
      <c r="C136" s="5">
        <f>MAIN!$A$23</f>
        <v>0</v>
      </c>
      <c r="D136" s="5" t="str">
        <f>CONCATENATE(MAIN!$B$23," ", MAIN!$E$23," ",MAIN!$C$23)</f>
        <v xml:space="preserve"> 150# RFSO</v>
      </c>
      <c r="E136" s="5" t="e" cm="1">
        <f t="array" ref="E136">IF(MAIN!P78="API",MAIN!G52,_xlfn.IFS(MAIN!$G$4="sa36",[1]master!$AK$184,MAIN!G$4=304,[1]master!$BJ$185,MAIN!$G$4=316,[1]master!$CJ$184))</f>
        <v>#N/A</v>
      </c>
      <c r="F136" s="72" t="e" cm="1">
        <f t="array" ref="F136">VLOOKUP(MAIN!B23,Nozzles!$K$31:$T$47,_xlfn.IFS(AND(MAIN!$G$4="sa36",MAIN!C23="rfso"),2,AND(MAIN!$G$4="sa36",MAIN!C23="rfwn"),3,AND(MAIN!$G$4=304,MAIN!C23="rfso"),5,AND(MAIN!$G$4=304,MAIN!C23="rfwn"),6,AND(MAIN!$G$4=316,MAIN!C23="rfso"),8,AND(MAIN!$G$4=316,MAIN!C23="rfwn"),9),FALSE)*C136</f>
        <v>#N/A</v>
      </c>
      <c r="G136" s="6" t="e" cm="1">
        <f t="array" ref="G136">$C136*VLOOKUP(MAIN!$O$5,Nozzles!$A$2:$P$6,_xlfn.IFS(MAIN!$B23=0.5,2,MAIN!$B23=1,2,MAIN!$B23=1.5,3,MAIN!$B23=2,3,MAIN!$B23=3,4,MAIN!$B23=4,5,MAIN!$B23=5,6,MAIN!$B23=6,7,MAIN!$B23=8,8,MAIN!$B23=10,9,MAIN!$B23=12,10,MAIN!$B23=14,11,MAIN!$B23=16,12,MAIN!$B23=18,13,MAIN!$B23=20,14,MAIN!$B23=24,15,MAIN!$B23=30,16),FALSE)</f>
        <v>#N/A</v>
      </c>
    </row>
    <row r="137" spans="1:7" ht="15.75" x14ac:dyDescent="0.5">
      <c r="A137">
        <v>133</v>
      </c>
      <c r="B137" s="32" t="s">
        <v>148</v>
      </c>
      <c r="C137" s="5">
        <f>MAIN!$A$23</f>
        <v>0</v>
      </c>
      <c r="D137" s="5" t="str">
        <f>CONCATENATE(MAIN!$B$23," ",MAIN!$D$23," X ",MAIN!$H$23)</f>
        <v xml:space="preserve"> SCH40 X 1</v>
      </c>
      <c r="E137" s="5" t="e" cm="1">
        <f t="array" ref="E137">_xlfn.IFS(MAIN!$G$4="sa36",[1]master!$AB$96,MAIN!G$4=304,[1]master!$BA$96,MAIN!$G$4=316,[1]master!$CA$94)</f>
        <v>#N/A</v>
      </c>
      <c r="F137" s="5" t="e" cm="1">
        <f t="array" ref="F137">C137*IF(MAIN!$B$23&gt;13,VLOOKUP(MAIN!$B$23,Nozzles!$A$11:$F$16,_xlfn.IFS(MAIN!$O$5=0.1875,2,MAIN!$O$5=0.25,3,MAIN!$O$5=0.3125,4,MAIN!$O$5=0.375,5,MAIN!$O$5=0.5,6),FALSE),VLOOKUP(MAIN!$B$23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$23</f>
        <v>#N/A</v>
      </c>
      <c r="G137" s="6" t="str">
        <f>IF(MAIN!H23=1,"-",MAIN!A23*1)</f>
        <v>-</v>
      </c>
    </row>
    <row r="138" spans="1:7" ht="15.75" x14ac:dyDescent="0.5">
      <c r="A138">
        <v>134</v>
      </c>
      <c r="B138" s="32" t="s">
        <v>149</v>
      </c>
      <c r="C138" s="5">
        <f>IF(MAIN!$F$23="YES",MAIN!$A$23,)</f>
        <v>0</v>
      </c>
      <c r="D138" s="5" t="str">
        <f>CONCATENATE(MAIN!$B$23," ",MAIN!$E$23," BLIND")</f>
        <v xml:space="preserve"> 150# BLIND</v>
      </c>
      <c r="E138" s="5" t="e" cm="1">
        <f t="array" ref="E138">IF(MAIN!P80="API",MAIN!G54,_xlfn.IFS(MAIN!$G$4="sa36",[1]master!$AK$184,MAIN!G$4=304,[1]master!$BJ$185,MAIN!$G$4=316,[1]master!$CJ$184))</f>
        <v>#N/A</v>
      </c>
      <c r="F138" s="72" t="e" cm="1">
        <f t="array" ref="F138">C138*VLOOKUP(MAIN!B23,Nozzles!$K$31:$T$47,_xlfn.IFS(MAIN!$G$4="sa36",4,MAIN!$G$4=304,7,MAIN!$G$4=316,10),FALSE)</f>
        <v>#N/A</v>
      </c>
      <c r="G138" s="6" t="s">
        <v>232</v>
      </c>
    </row>
    <row r="139" spans="1:7" ht="15.75" x14ac:dyDescent="0.5">
      <c r="A139">
        <v>135</v>
      </c>
      <c r="B139" s="32" t="s">
        <v>150</v>
      </c>
      <c r="C139" s="5">
        <f>IF(MAIN!$G$23="YES",MAIN!$A$23,)</f>
        <v>0</v>
      </c>
      <c r="D139" s="5" t="str">
        <f>CONCATENATE("3/8 X ",MAIN!$B$23*2," DIA")</f>
        <v>3/8 X 0 DIA</v>
      </c>
      <c r="E139" s="5" t="e" cm="1">
        <f t="array" ref="E139">_xlfn.IFS(MAIN!$G$4="SA36","sa36",MAIN!$G$4=304,304,MAIN!$G$4=316,304)</f>
        <v>#N/A</v>
      </c>
      <c r="F139" s="38">
        <f>(MAIN!B23*2)*(MAIN!B23*2)*IF(MAIN!$G$4="sa36",15.32,16.5)/144*IF(MAIN!$G$4="sa36",[1]Plate!$C$34,[1]Plate!$I$7)*C139</f>
        <v>0</v>
      </c>
      <c r="G139" s="6" cm="1">
        <f t="array" ref="G139">_xlfn.IFS(MAIN!B23&lt;11,3,MAIN!B23&lt;19,4,MAIN!B23&lt;25,5,MAIN!B23&gt;25,6)*C139</f>
        <v>0</v>
      </c>
    </row>
    <row r="140" spans="1:7" ht="15.75" x14ac:dyDescent="0.5">
      <c r="A140">
        <v>136</v>
      </c>
      <c r="B140" s="32" t="s">
        <v>151</v>
      </c>
      <c r="C140" s="5" cm="1">
        <f t="array" ref="C140">IF(MAIN!$G$23="YES",_xlfn.IFS(MAIN!$B$23&lt;9,4,MAIN!$B$23&lt;15,6,MAIN!$B$23&lt;19,8,MAIN!$B$23&lt;31,10),)</f>
        <v>0</v>
      </c>
      <c r="D140" s="5" t="str">
        <f>CONCATENATE("3/8 X 12 X 24")</f>
        <v>3/8 X 12 X 24</v>
      </c>
      <c r="E140" s="5" t="e" cm="1">
        <f t="array" ref="E140">_xlfn.IFS(MAIN!$G$4="SA36","sa36",MAIN!$G$4=304,304,MAIN!$G$4=316,304)</f>
        <v>#N/A</v>
      </c>
      <c r="F140" s="38">
        <f>C140*12*24*IF(MAIN!$G$4="sa36",15.32,16.5)/144*IF(MAIN!$G$4="sa36",[1]Plate!$C$34,[1]Plate!$I$7)</f>
        <v>0</v>
      </c>
      <c r="G140" s="6">
        <f>G139</f>
        <v>0</v>
      </c>
    </row>
    <row r="141" spans="1:7" ht="15.75" x14ac:dyDescent="0.5">
      <c r="A141">
        <v>137</v>
      </c>
      <c r="B141" s="32" t="s">
        <v>345</v>
      </c>
      <c r="C141" s="5">
        <f>IF(MAIN!F23="YES",MAIN!A23,)</f>
        <v>0</v>
      </c>
      <c r="D141" s="5" t="str">
        <f>CONCATENATE(MAIN!$C$11,", ",MAIN!$C$12,", ",MAIN!$G$12)</f>
        <v>Garlock 3000, SA193-B7, SA193-2H</v>
      </c>
      <c r="E141" s="5"/>
      <c r="F141" s="5" cm="1">
        <f t="array" ref="F141">C141*_xlfn.IFS(MAIN!B23&lt;3.1,150,MAIN!B23&lt;6.1,200,MAIN!B23&lt;10.1,300,MAIN!B23&lt;16.1,500,MAIN!B23&lt;31,750)</f>
        <v>0</v>
      </c>
      <c r="G141" s="6">
        <f>C141*2</f>
        <v>0</v>
      </c>
    </row>
    <row r="142" spans="1:7" ht="15.75" x14ac:dyDescent="0.5">
      <c r="A142">
        <v>138</v>
      </c>
      <c r="B142" s="32" t="s">
        <v>152</v>
      </c>
      <c r="C142" s="5">
        <f>MAIN!$A$24</f>
        <v>0</v>
      </c>
      <c r="D142" s="5" t="str">
        <f>CONCATENATE(MAIN!$B$24," ", MAIN!$E$24," ",MAIN!$C$24)</f>
        <v xml:space="preserve"> 150# RFSO</v>
      </c>
      <c r="E142" s="5" t="e" cm="1">
        <f t="array" ref="E142">IF(MAIN!P84="API",MAIN!G58,_xlfn.IFS(MAIN!$G$4="sa36",[1]master!$AK$184,MAIN!G$4=304,[1]master!$BJ$185,MAIN!$G$4=316,[1]master!$CJ$184))</f>
        <v>#N/A</v>
      </c>
      <c r="F142" s="72" t="e" cm="1">
        <f t="array" ref="F142">VLOOKUP(MAIN!B24,Nozzles!$K$31:$T$47,_xlfn.IFS(AND(MAIN!$G$4="sa36",MAIN!C24="rfso"),2,AND(MAIN!$G$4="sa36",MAIN!C24="rfwn"),3,AND(MAIN!$G$4=304,MAIN!C24="rfso"),5,AND(MAIN!$G$4=304,MAIN!C24="rfwn"),6,AND(MAIN!$G$4=316,MAIN!C24="rfso"),8,AND(MAIN!$G$4=316,MAIN!C24="rfwn"),9),FALSE)*C142</f>
        <v>#N/A</v>
      </c>
      <c r="G142" s="6" t="e" cm="1">
        <f t="array" ref="G142">$C142*VLOOKUP(MAIN!$O$5,Nozzles!$A$2:$P$6,_xlfn.IFS(MAIN!$B24=0.5,2,MAIN!$B24=1,2,MAIN!$B24=1.5,3,MAIN!$B24=2,3,MAIN!$B24=3,4,MAIN!$B24=4,5,MAIN!$B24=5,6,MAIN!$B24=6,7,MAIN!$B24=8,8,MAIN!$B24=10,9,MAIN!$B24=12,10,MAIN!$B24=14,11,MAIN!$B24=16,12,MAIN!$B24=18,13,MAIN!$B24=20,14,MAIN!$B24=24,15,MAIN!$B24=30,16),FALSE)</f>
        <v>#N/A</v>
      </c>
    </row>
    <row r="143" spans="1:7" ht="15.75" x14ac:dyDescent="0.5">
      <c r="A143">
        <v>139</v>
      </c>
      <c r="B143" s="32" t="s">
        <v>153</v>
      </c>
      <c r="C143" s="5">
        <f>MAIN!$A$24</f>
        <v>0</v>
      </c>
      <c r="D143" s="5" t="str">
        <f>CONCATENATE(MAIN!$B$24," ",MAIN!$D$24," X ",MAIN!$H$24)</f>
        <v xml:space="preserve"> SCH40 X 1</v>
      </c>
      <c r="E143" s="5" t="e" cm="1">
        <f t="array" ref="E143">_xlfn.IFS(MAIN!$G$4="sa36",[1]master!$AB$96,MAIN!G$4=304,[1]master!$BA$96,MAIN!$G$4=316,[1]master!$CA$94)</f>
        <v>#N/A</v>
      </c>
      <c r="F143" s="5" t="e" cm="1">
        <f t="array" ref="F143">C143*IF(MAIN!$B$24&gt;13,VLOOKUP(MAIN!$B$24,Nozzles!$A$11:$F$16,_xlfn.IFS(MAIN!$O$5=0.1875,2,MAIN!$O$5=0.25,3,MAIN!$O$5=0.3125,4,MAIN!$O$5=0.375,5,MAIN!$O$5=0.5,6),FALSE),VLOOKUP(MAIN!$B$24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$24</f>
        <v>#N/A</v>
      </c>
      <c r="G143" s="6" t="str">
        <f>IF(MAIN!H24=1,"-",MAIN!A24*1)</f>
        <v>-</v>
      </c>
    </row>
    <row r="144" spans="1:7" ht="15.75" x14ac:dyDescent="0.5">
      <c r="A144">
        <v>140</v>
      </c>
      <c r="B144" s="32" t="s">
        <v>154</v>
      </c>
      <c r="C144" s="5">
        <f>IF(MAIN!$F$24="YES",MAIN!$A$24,)</f>
        <v>0</v>
      </c>
      <c r="D144" s="5" t="str">
        <f>CONCATENATE(MAIN!$B$24," ",MAIN!$E$24," BLIND")</f>
        <v xml:space="preserve"> 150# BLIND</v>
      </c>
      <c r="E144" s="5" t="e" cm="1">
        <f t="array" ref="E144">IF(MAIN!P86="API",MAIN!G60,_xlfn.IFS(MAIN!$G$4="sa36",[1]master!$AK$184,MAIN!G$4=304,[1]master!$BJ$185,MAIN!$G$4=316,[1]master!$CJ$184))</f>
        <v>#N/A</v>
      </c>
      <c r="F144" s="72" t="e" cm="1">
        <f t="array" ref="F144">C144*VLOOKUP(MAIN!B24,Nozzles!$K$31:$T$47,_xlfn.IFS(MAIN!$G$4="sa36",4,MAIN!$G$4=304,7,MAIN!$G$4=316,10),FALSE)</f>
        <v>#N/A</v>
      </c>
      <c r="G144" s="6" t="s">
        <v>232</v>
      </c>
    </row>
    <row r="145" spans="1:7" ht="15.75" x14ac:dyDescent="0.5">
      <c r="A145">
        <v>141</v>
      </c>
      <c r="B145" s="32" t="s">
        <v>155</v>
      </c>
      <c r="C145" s="5">
        <f>IF(MAIN!$G$24="YES",MAIN!$A$24,)</f>
        <v>0</v>
      </c>
      <c r="D145" s="5" t="str">
        <f>CONCATENATE("3/8 X ",MAIN!$B$24*2," DIA")</f>
        <v>3/8 X 0 DIA</v>
      </c>
      <c r="E145" s="5" t="e" cm="1">
        <f t="array" ref="E145">_xlfn.IFS(MAIN!$G$4="SA36","sa36",MAIN!$G$4=304,304,MAIN!$G$4=316,304)</f>
        <v>#N/A</v>
      </c>
      <c r="F145" s="38">
        <f>(MAIN!B24*2)*(MAIN!B24*2)*IF(MAIN!$G$4="sa36",15.32,16.5)/144*IF(MAIN!$G$4="sa36",[1]Plate!$C$34,[1]Plate!$I$7)*C145</f>
        <v>0</v>
      </c>
      <c r="G145" s="6" cm="1">
        <f t="array" ref="G145">_xlfn.IFS(MAIN!B24&lt;11,3,MAIN!B24&lt;19,4,MAIN!B24&lt;25,5,MAIN!B24&gt;25,6)*C145</f>
        <v>0</v>
      </c>
    </row>
    <row r="146" spans="1:7" ht="15.75" x14ac:dyDescent="0.5">
      <c r="A146">
        <v>142</v>
      </c>
      <c r="B146" s="32" t="s">
        <v>156</v>
      </c>
      <c r="C146" s="5" cm="1">
        <f t="array" ref="C146">IF(MAIN!$G$24="YES",_xlfn.IFS(MAIN!$B$24&lt;9,4,MAIN!$B$24&lt;15,6,MAIN!$B$24&lt;19,8,MAIN!$B$24&lt;31,10),)</f>
        <v>0</v>
      </c>
      <c r="D146" s="5" t="str">
        <f>CONCATENATE("3/8 X 12 X 24")</f>
        <v>3/8 X 12 X 24</v>
      </c>
      <c r="E146" s="5" t="e" cm="1">
        <f t="array" ref="E146">_xlfn.IFS(MAIN!$G$4="SA36","sa36",MAIN!$G$4=304,304,MAIN!$G$4=316,304)</f>
        <v>#N/A</v>
      </c>
      <c r="F146" s="38">
        <f>C146*12*24*IF(MAIN!$G$4="sa36",15.32,16.5)/144*IF(MAIN!$G$4="sa36",[1]Plate!$C$34,[1]Plate!$I$7)</f>
        <v>0</v>
      </c>
      <c r="G146" s="6">
        <f>G145</f>
        <v>0</v>
      </c>
    </row>
    <row r="147" spans="1:7" ht="15.75" x14ac:dyDescent="0.5">
      <c r="A147">
        <v>143</v>
      </c>
      <c r="B147" s="32" t="s">
        <v>346</v>
      </c>
      <c r="C147" s="5">
        <f>IF(MAIN!F24="YES",MAIN!A24,)</f>
        <v>0</v>
      </c>
      <c r="D147" s="5" t="str">
        <f>CONCATENATE(MAIN!$C$11,", ",MAIN!$C$12,", ",MAIN!$G$12)</f>
        <v>Garlock 3000, SA193-B7, SA193-2H</v>
      </c>
      <c r="E147" s="5"/>
      <c r="F147" s="5" cm="1">
        <f t="array" ref="F147">C147*_xlfn.IFS(MAIN!B24&lt;3.1,150,MAIN!B24&lt;6.1,200,MAIN!B24&lt;10.1,300,MAIN!B24&lt;16.1,500,MAIN!B24&lt;31,750)</f>
        <v>0</v>
      </c>
      <c r="G147" s="6">
        <f>C147*2</f>
        <v>0</v>
      </c>
    </row>
    <row r="148" spans="1:7" ht="15.75" x14ac:dyDescent="0.5">
      <c r="A148">
        <v>144</v>
      </c>
      <c r="B148" s="32" t="s">
        <v>157</v>
      </c>
      <c r="C148" s="5">
        <f>MAIN!$A$25</f>
        <v>0</v>
      </c>
      <c r="D148" s="5" t="str">
        <f>CONCATENATE(MAIN!$B$25," ", MAIN!$E$25," ",MAIN!$C$25)</f>
        <v xml:space="preserve"> 150# RFSO</v>
      </c>
      <c r="E148" s="5" t="e" cm="1">
        <f t="array" ref="E148">IF(MAIN!P90="API",MAIN!G64,_xlfn.IFS(MAIN!$G$4="sa36",[1]master!$AK$184,MAIN!G$4=304,[1]master!$BJ$185,MAIN!$G$4=316,[1]master!$CJ$184))</f>
        <v>#N/A</v>
      </c>
      <c r="F148" s="72" t="e" cm="1">
        <f t="array" ref="F148">VLOOKUP(MAIN!B25,Nozzles!$K$31:$T$47,_xlfn.IFS(AND(MAIN!$G$4="sa36",MAIN!C25="rfso"),2,AND(MAIN!$G$4="sa36",MAIN!C25="rfwn"),3,AND(MAIN!$G$4=304,MAIN!C25="rfso"),5,AND(MAIN!$G$4=304,MAIN!C25="rfwn"),6,AND(MAIN!$G$4=316,MAIN!C25="rfso"),8,AND(MAIN!$G$4=316,MAIN!C25="rfwn"),9),FALSE)*C148</f>
        <v>#N/A</v>
      </c>
      <c r="G148" s="6" t="e" cm="1">
        <f t="array" ref="G148">$C148*VLOOKUP(MAIN!$O$5,Nozzles!$A$2:$P$6,_xlfn.IFS(MAIN!$B25=0.5,2,MAIN!$B25=1,2,MAIN!$B25=1.5,3,MAIN!$B25=2,3,MAIN!$B25=3,4,MAIN!$B25=4,5,MAIN!$B25=5,6,MAIN!$B25=6,7,MAIN!$B25=8,8,MAIN!$B25=10,9,MAIN!$B25=12,10,MAIN!$B25=14,11,MAIN!$B25=16,12,MAIN!$B25=18,13,MAIN!$B25=20,14,MAIN!$B25=24,15,MAIN!$B25=30,16),FALSE)</f>
        <v>#N/A</v>
      </c>
    </row>
    <row r="149" spans="1:7" ht="15.75" x14ac:dyDescent="0.5">
      <c r="A149">
        <v>145</v>
      </c>
      <c r="B149" s="32" t="s">
        <v>158</v>
      </c>
      <c r="C149" s="5">
        <f>MAIN!$A$25</f>
        <v>0</v>
      </c>
      <c r="D149" s="5" t="str">
        <f>CONCATENATE(MAIN!$B$25," ",MAIN!$D$25," X ",MAIN!$H$25)</f>
        <v xml:space="preserve"> SCH40 X 1</v>
      </c>
      <c r="E149" s="5" t="e" cm="1">
        <f t="array" ref="E149">_xlfn.IFS(MAIN!$G$4="sa36",[1]master!$AB$96,MAIN!G$4=304,[1]master!$BA$96,MAIN!$G$4=316,[1]master!$CA$94)</f>
        <v>#N/A</v>
      </c>
      <c r="F149" s="5" t="e" cm="1">
        <f t="array" ref="F149">C149*IF(MAIN!$B$25&gt;13,VLOOKUP(MAIN!$B$25,Nozzles!$A$11:$F$16,_xlfn.IFS(MAIN!$O$5=0.1875,2,MAIN!$O$5=0.25,3,MAIN!$O$5=0.3125,4,MAIN!$O$5=0.375,5,MAIN!$O$5=0.5,6),FALSE),VLOOKUP(MAIN!$B$25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$25</f>
        <v>#N/A</v>
      </c>
      <c r="G149" s="6" t="str">
        <f>IF(MAIN!H25=1,"-",MAIN!A25*1)</f>
        <v>-</v>
      </c>
    </row>
    <row r="150" spans="1:7" ht="15.75" x14ac:dyDescent="0.5">
      <c r="A150">
        <v>146</v>
      </c>
      <c r="B150" s="32" t="s">
        <v>159</v>
      </c>
      <c r="C150" s="5">
        <f>IF(MAIN!$F$25="YES",MAIN!$A$25,)</f>
        <v>0</v>
      </c>
      <c r="D150" s="5" t="str">
        <f>CONCATENATE(MAIN!$B$25," ",MAIN!$E$25," BLIND")</f>
        <v xml:space="preserve"> 150# BLIND</v>
      </c>
      <c r="E150" s="5" t="e" cm="1">
        <f t="array" ref="E150">IF(MAIN!P92="API",MAIN!G66,_xlfn.IFS(MAIN!$G$4="sa36",[1]master!$AK$184,MAIN!G$4=304,[1]master!$BJ$185,MAIN!$G$4=316,[1]master!$CJ$184))</f>
        <v>#N/A</v>
      </c>
      <c r="F150" s="72" t="e" cm="1">
        <f t="array" ref="F150">C150*VLOOKUP(MAIN!B25,Nozzles!$K$31:$T$47,_xlfn.IFS(MAIN!$G$4="sa36",4,MAIN!$G$4=304,7,MAIN!$G$4=316,10),FALSE)</f>
        <v>#N/A</v>
      </c>
      <c r="G150" s="6" t="s">
        <v>232</v>
      </c>
    </row>
    <row r="151" spans="1:7" ht="15.75" x14ac:dyDescent="0.5">
      <c r="A151">
        <v>147</v>
      </c>
      <c r="B151" s="32" t="s">
        <v>160</v>
      </c>
      <c r="C151" s="5">
        <f>IF(MAIN!$G$25="YES",MAIN!$A$25,)</f>
        <v>0</v>
      </c>
      <c r="D151" s="5" t="str">
        <f>CONCATENATE("3/8 X ",MAIN!$B$25*2," DIA")</f>
        <v>3/8 X 0 DIA</v>
      </c>
      <c r="E151" s="5" t="e" cm="1">
        <f t="array" ref="E151">_xlfn.IFS(MAIN!$G$4="SA36","sa36",MAIN!$G$4=304,304,MAIN!$G$4=316,304)</f>
        <v>#N/A</v>
      </c>
      <c r="F151" s="38">
        <f>(MAIN!B25*2)*(MAIN!B25*2)*IF(MAIN!$G$4="sa36",15.32,16.5)/144*IF(MAIN!$G$4="sa36",[1]Plate!$C$34,[1]Plate!$I$7)*C151</f>
        <v>0</v>
      </c>
      <c r="G151" s="6" cm="1">
        <f t="array" ref="G151">_xlfn.IFS(MAIN!B25&lt;11,3,MAIN!B25&lt;19,4,MAIN!B25&lt;25,5,MAIN!B25&gt;25,6)*C151</f>
        <v>0</v>
      </c>
    </row>
    <row r="152" spans="1:7" ht="15.75" x14ac:dyDescent="0.5">
      <c r="A152">
        <v>148</v>
      </c>
      <c r="B152" s="32" t="s">
        <v>161</v>
      </c>
      <c r="C152" s="5" cm="1">
        <f t="array" ref="C152">IF(MAIN!$G$25="YES",_xlfn.IFS(MAIN!$B$25&lt;9,4,MAIN!$B$25&lt;15,6,MAIN!$B$25&lt;19,8,MAIN!$B$25&lt;31,10),)</f>
        <v>0</v>
      </c>
      <c r="D152" s="5" t="str">
        <f>CONCATENATE("3/8 X 12 X 24")</f>
        <v>3/8 X 12 X 24</v>
      </c>
      <c r="E152" s="5" t="e" cm="1">
        <f t="array" ref="E152">_xlfn.IFS(MAIN!$G$4="SA36","sa36",MAIN!$G$4=304,304,MAIN!$G$4=316,304)</f>
        <v>#N/A</v>
      </c>
      <c r="F152" s="38">
        <f>C152*12*24*IF(MAIN!$G$4="sa36",15.32,16.5)/144*IF(MAIN!$G$4="sa36",[1]Plate!$C$34,[1]Plate!$I$7)</f>
        <v>0</v>
      </c>
      <c r="G152" s="6">
        <f>G151</f>
        <v>0</v>
      </c>
    </row>
    <row r="153" spans="1:7" ht="15.75" x14ac:dyDescent="0.5">
      <c r="A153">
        <v>149</v>
      </c>
      <c r="B153" s="32" t="s">
        <v>347</v>
      </c>
      <c r="C153" s="5">
        <f>IF(MAIN!F25="YES",MAIN!A25,)</f>
        <v>0</v>
      </c>
      <c r="D153" s="5" t="str">
        <f>CONCATENATE(MAIN!$C$11,", ",MAIN!$C$12,", ",MAIN!$G$12)</f>
        <v>Garlock 3000, SA193-B7, SA193-2H</v>
      </c>
      <c r="E153" s="5"/>
      <c r="F153" s="5" cm="1">
        <f t="array" ref="F153">C153*_xlfn.IFS(MAIN!B25&lt;3.1,150,MAIN!B25&lt;6.1,200,MAIN!B25&lt;10.1,300,MAIN!B25&lt;16.1,500,MAIN!B25&lt;31,750)</f>
        <v>0</v>
      </c>
      <c r="G153" s="6">
        <f>C153*2</f>
        <v>0</v>
      </c>
    </row>
    <row r="154" spans="1:7" ht="15.75" x14ac:dyDescent="0.5">
      <c r="A154">
        <v>150</v>
      </c>
      <c r="B154" s="32" t="s">
        <v>162</v>
      </c>
      <c r="C154" s="5">
        <f>MAIN!$A$26</f>
        <v>0</v>
      </c>
      <c r="D154" s="5" t="str">
        <f>CONCATENATE(MAIN!$B$26," ", MAIN!$E$26," ",MAIN!$C$26)</f>
        <v xml:space="preserve"> 150# RFSO</v>
      </c>
      <c r="E154" s="5" t="e" cm="1">
        <f t="array" ref="E154">IF(MAIN!P96="API",MAIN!G70,_xlfn.IFS(MAIN!$G$4="sa36",[1]master!$AK$184,MAIN!G$4=304,[1]master!$BJ$185,MAIN!$G$4=316,[1]master!$CJ$184))</f>
        <v>#N/A</v>
      </c>
      <c r="F154" s="72" t="e" cm="1">
        <f t="array" ref="F154">VLOOKUP(MAIN!B26,Nozzles!$K$31:$T$47,_xlfn.IFS(AND(MAIN!$G$4="sa36",MAIN!C26="rfso"),2,AND(MAIN!$G$4="sa36",MAIN!C26="rfwn"),3,AND(MAIN!$G$4=304,MAIN!C26="rfso"),5,AND(MAIN!$G$4=304,MAIN!C26="rfwn"),6,AND(MAIN!$G$4=316,MAIN!C26="rfso"),8,AND(MAIN!$G$4=316,MAIN!C26="rfwn"),9),FALSE)*C154</f>
        <v>#N/A</v>
      </c>
      <c r="G154" s="6" t="e" cm="1">
        <f t="array" ref="G154">$C154*VLOOKUP(MAIN!$O$5,Nozzles!$A$2:$P$6,_xlfn.IFS(MAIN!$B26=0.5,2,MAIN!$B26=1,2,MAIN!$B26=1.5,3,MAIN!$B26=2,3,MAIN!$B26=3,4,MAIN!$B26=4,5,MAIN!$B26=5,6,MAIN!$B26=6,7,MAIN!$B26=8,8,MAIN!$B26=10,9,MAIN!$B26=12,10,MAIN!$B26=14,11,MAIN!$B26=16,12,MAIN!$B26=18,13,MAIN!$B26=20,14,MAIN!$B26=24,15,MAIN!$B26=30,16),FALSE)</f>
        <v>#N/A</v>
      </c>
    </row>
    <row r="155" spans="1:7" ht="15.75" x14ac:dyDescent="0.5">
      <c r="A155">
        <v>151</v>
      </c>
      <c r="B155" s="32" t="s">
        <v>163</v>
      </c>
      <c r="C155" s="5">
        <f>MAIN!$A$26</f>
        <v>0</v>
      </c>
      <c r="D155" s="5" t="str">
        <f>CONCATENATE(MAIN!$B$26," ",MAIN!$D$26," X ",MAIN!$H$26)</f>
        <v xml:space="preserve"> SCH40 X 1</v>
      </c>
      <c r="E155" s="5" t="e" cm="1">
        <f t="array" ref="E155">_xlfn.IFS(MAIN!$G$4="sa36",[1]master!$AB$96,MAIN!G$4=304,[1]master!$BA$96,MAIN!$G$4=316,[1]master!$CA$94)</f>
        <v>#N/A</v>
      </c>
      <c r="F155" s="5" t="e" cm="1">
        <f t="array" ref="F155">C155*IF(MAIN!$B$26&gt;13,VLOOKUP(MAIN!$B$26,Nozzles!$A$11:$F$16,_xlfn.IFS(MAIN!$O$5=0.1875,2,MAIN!$O$5=0.25,3,MAIN!$O$5=0.3125,4,MAIN!$O$5=0.375,5,MAIN!$O$5=0.5,6),FALSE),VLOOKUP(MAIN!$B$26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$26</f>
        <v>#N/A</v>
      </c>
      <c r="G155" s="6" t="str">
        <f>IF(MAIN!H26=1,"-",MAIN!A26*1)</f>
        <v>-</v>
      </c>
    </row>
    <row r="156" spans="1:7" ht="15.75" x14ac:dyDescent="0.5">
      <c r="A156">
        <v>152</v>
      </c>
      <c r="B156" s="32" t="s">
        <v>164</v>
      </c>
      <c r="C156" s="5">
        <f>IF(MAIN!$F$26="YES",MAIN!$A$26,)</f>
        <v>0</v>
      </c>
      <c r="D156" s="5" t="str">
        <f>CONCATENATE(MAIN!$B$26," ",MAIN!$E$26," BLIND")</f>
        <v xml:space="preserve"> 150# BLIND</v>
      </c>
      <c r="E156" s="5" t="e" cm="1">
        <f t="array" ref="E156">IF(MAIN!P98="API",MAIN!G72,_xlfn.IFS(MAIN!$G$4="sa36",[1]master!$AK$184,MAIN!G$4=304,[1]master!$BJ$185,MAIN!$G$4=316,[1]master!$CJ$184))</f>
        <v>#N/A</v>
      </c>
      <c r="F156" s="72" t="e" cm="1">
        <f t="array" ref="F156">C156*VLOOKUP(MAIN!B26,Nozzles!$K$31:$T$47,_xlfn.IFS(MAIN!$G$4="sa36",4,MAIN!$G$4=304,7,MAIN!$G$4=316,10),FALSE)</f>
        <v>#N/A</v>
      </c>
      <c r="G156" s="6" t="s">
        <v>232</v>
      </c>
    </row>
    <row r="157" spans="1:7" ht="15.75" x14ac:dyDescent="0.5">
      <c r="A157">
        <v>153</v>
      </c>
      <c r="B157" s="32" t="s">
        <v>165</v>
      </c>
      <c r="C157" s="5">
        <f>IF(MAIN!$G$26="YES",MAIN!$A$26,)</f>
        <v>0</v>
      </c>
      <c r="D157" s="5" t="str">
        <f>CONCATENATE("3/8 X ",MAIN!$B$26*2," DIA")</f>
        <v>3/8 X 0 DIA</v>
      </c>
      <c r="E157" s="5" t="e" cm="1">
        <f t="array" ref="E157">_xlfn.IFS(MAIN!$G$4="SA36","sa36",MAIN!$G$4=304,304,MAIN!$G$4=316,304)</f>
        <v>#N/A</v>
      </c>
      <c r="F157" s="38">
        <f>(MAIN!B26*2)*(MAIN!B26*2)*IF(MAIN!$G$4="sa36",15.32,16.5)/144*IF(MAIN!$G$4="sa36",[1]Plate!$C$34,[1]Plate!$I$7)*C157</f>
        <v>0</v>
      </c>
      <c r="G157" s="6" cm="1">
        <f t="array" ref="G157">_xlfn.IFS(MAIN!B26&lt;11,3,MAIN!B26&lt;19,4,MAIN!B26&lt;25,5,MAIN!B26&gt;25,6)*C157</f>
        <v>0</v>
      </c>
    </row>
    <row r="158" spans="1:7" ht="15.75" x14ac:dyDescent="0.5">
      <c r="A158">
        <v>154</v>
      </c>
      <c r="B158" s="32" t="s">
        <v>166</v>
      </c>
      <c r="C158" s="5" cm="1">
        <f t="array" ref="C158">IF(MAIN!$G$26="YES",_xlfn.IFS(MAIN!$B$26&lt;9,4,MAIN!$B$26&lt;15,6,MAIN!$B$26&lt;19,8,MAIN!$B$26&lt;31,10),)</f>
        <v>0</v>
      </c>
      <c r="D158" s="5" t="str">
        <f>CONCATENATE("3/8 X 12 X 24")</f>
        <v>3/8 X 12 X 24</v>
      </c>
      <c r="E158" s="5" t="e" cm="1">
        <f t="array" ref="E158">_xlfn.IFS(MAIN!$G$4="SA36","sa36",MAIN!$G$4=304,304,MAIN!$G$4=316,304)</f>
        <v>#N/A</v>
      </c>
      <c r="F158" s="38">
        <f>C158*12*24*IF(MAIN!$G$4="sa36",15.32,16.5)/144*IF(MAIN!$G$4="sa36",[1]Plate!$C$34,[1]Plate!$I$7)</f>
        <v>0</v>
      </c>
      <c r="G158" s="6">
        <f>G157</f>
        <v>0</v>
      </c>
    </row>
    <row r="159" spans="1:7" ht="15.75" x14ac:dyDescent="0.5">
      <c r="A159">
        <v>155</v>
      </c>
      <c r="B159" s="32" t="s">
        <v>348</v>
      </c>
      <c r="C159" s="5">
        <f>IF(MAIN!F26="YES",MAIN!A26,)</f>
        <v>0</v>
      </c>
      <c r="D159" s="5" t="str">
        <f>CONCATENATE(MAIN!$C$11,", ",MAIN!$C$12,", ",MAIN!$G$12)</f>
        <v>Garlock 3000, SA193-B7, SA193-2H</v>
      </c>
      <c r="E159" s="5"/>
      <c r="F159" s="5" cm="1">
        <f t="array" ref="F159">C159*_xlfn.IFS(MAIN!B26&lt;3.1,150,MAIN!B26&lt;6.1,200,MAIN!B26&lt;10.1,300,MAIN!B26&lt;16.1,500,MAIN!B26&lt;31,750)</f>
        <v>0</v>
      </c>
      <c r="G159" s="6">
        <f>C159*2</f>
        <v>0</v>
      </c>
    </row>
    <row r="160" spans="1:7" ht="15.75" x14ac:dyDescent="0.5">
      <c r="A160">
        <v>156</v>
      </c>
      <c r="B160" s="32" t="s">
        <v>167</v>
      </c>
      <c r="C160" s="5">
        <f>MAIN!$A$27</f>
        <v>0</v>
      </c>
      <c r="D160" s="5" t="str">
        <f>CONCATENATE(MAIN!$B$27," ", MAIN!$E$27," ",MAIN!$C$27)</f>
        <v xml:space="preserve"> 150# RFSO</v>
      </c>
      <c r="E160" s="5" t="e" cm="1">
        <f t="array" ref="E160">IF(MAIN!P102="API",MAIN!G76,_xlfn.IFS(MAIN!$G$4="sa36",[1]master!$AK$184,MAIN!G$4=304,[1]master!$BJ$185,MAIN!$G$4=316,[1]master!$CJ$184))</f>
        <v>#N/A</v>
      </c>
      <c r="F160" s="72" t="e" cm="1">
        <f t="array" ref="F160">VLOOKUP(MAIN!B27,Nozzles!$K$31:$T$47,_xlfn.IFS(AND(MAIN!$G$4="sa36",MAIN!C27="rfso"),2,AND(MAIN!$G$4="sa36",MAIN!C27="rfwn"),3,AND(MAIN!$G$4=304,MAIN!C27="rfso"),5,AND(MAIN!$G$4=304,MAIN!C27="rfwn"),6,AND(MAIN!$G$4=316,MAIN!C27="rfso"),8,AND(MAIN!$G$4=316,MAIN!C27="rfwn"),9),FALSE)*C160</f>
        <v>#N/A</v>
      </c>
      <c r="G160" s="6" t="e" cm="1">
        <f t="array" ref="G160">$C160*VLOOKUP(MAIN!$O$5,Nozzles!$A$2:$P$6,_xlfn.IFS(MAIN!$B27=0.5,2,MAIN!$B27=1,2,MAIN!$B27=1.5,3,MAIN!$B27=2,3,MAIN!$B27=3,4,MAIN!$B27=4,5,MAIN!$B27=5,6,MAIN!$B27=6,7,MAIN!$B27=8,8,MAIN!$B27=10,9,MAIN!$B27=12,10,MAIN!$B27=14,11,MAIN!$B27=16,12,MAIN!$B27=18,13,MAIN!$B27=20,14,MAIN!$B27=24,15,MAIN!$B27=30,16),FALSE)</f>
        <v>#N/A</v>
      </c>
    </row>
    <row r="161" spans="1:7" ht="15.75" x14ac:dyDescent="0.5">
      <c r="A161">
        <v>157</v>
      </c>
      <c r="B161" s="32" t="s">
        <v>168</v>
      </c>
      <c r="C161" s="5">
        <f>MAIN!$A$27</f>
        <v>0</v>
      </c>
      <c r="D161" s="5" t="str">
        <f>CONCATENATE(MAIN!$B$27," ",MAIN!$D$27," X ",MAIN!$H$27)</f>
        <v xml:space="preserve"> SCH40 X 1</v>
      </c>
      <c r="E161" s="5" t="e" cm="1">
        <f t="array" ref="E161">_xlfn.IFS(MAIN!$G$4="sa36",[1]master!$AB$96,MAIN!G$4=304,[1]master!$BA$96,MAIN!$G$4=316,[1]master!$CA$94)</f>
        <v>#N/A</v>
      </c>
      <c r="F161" s="5" t="e" cm="1">
        <f t="array" ref="F161">C161*IF(MAIN!$B$27&gt;13,VLOOKUP(MAIN!$B$27,Nozzles!$A$11:$F$16,_xlfn.IFS(MAIN!$O$5=0.1875,2,MAIN!$O$5=0.25,3,MAIN!$O$5=0.3125,4,MAIN!$O$5=0.375,5,MAIN!$O$5=0.5,6),FALSE),VLOOKUP(MAIN!$B$27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$27</f>
        <v>#N/A</v>
      </c>
      <c r="G161" s="6" t="str">
        <f>IF(MAIN!H27=1,"-",MAIN!A27*1)</f>
        <v>-</v>
      </c>
    </row>
    <row r="162" spans="1:7" ht="15.75" x14ac:dyDescent="0.5">
      <c r="A162">
        <v>158</v>
      </c>
      <c r="B162" s="32" t="s">
        <v>169</v>
      </c>
      <c r="C162" s="5">
        <f>IF(MAIN!$F$27="YES",MAIN!$A$27,)</f>
        <v>0</v>
      </c>
      <c r="D162" s="5" t="str">
        <f>CONCATENATE(MAIN!$B$27," ",MAIN!$E$27," BLIND")</f>
        <v xml:space="preserve"> 150# BLIND</v>
      </c>
      <c r="E162" s="5" t="e" cm="1">
        <f t="array" ref="E162">IF(MAIN!P104="API",MAIN!G78,_xlfn.IFS(MAIN!$G$4="sa36",[1]master!$AK$184,MAIN!G$4=304,[1]master!$BJ$185,MAIN!$G$4=316,[1]master!$CJ$184))</f>
        <v>#N/A</v>
      </c>
      <c r="F162" s="72" t="e" cm="1">
        <f t="array" ref="F162">C162*VLOOKUP(MAIN!B27,Nozzles!$K$31:$T$47,_xlfn.IFS(MAIN!$G$4="sa36",4,MAIN!$G$4=304,7,MAIN!$G$4=316,10),FALSE)</f>
        <v>#N/A</v>
      </c>
      <c r="G162" s="6" t="s">
        <v>232</v>
      </c>
    </row>
    <row r="163" spans="1:7" ht="15.75" x14ac:dyDescent="0.5">
      <c r="A163">
        <v>159</v>
      </c>
      <c r="B163" s="32" t="s">
        <v>170</v>
      </c>
      <c r="C163" s="5">
        <f>IF(MAIN!$G$27="YES",MAIN!$A$27,)</f>
        <v>0</v>
      </c>
      <c r="D163" s="5" t="str">
        <f>CONCATENATE("3/8 X ",MAIN!$B$27*2," DIA")</f>
        <v>3/8 X 0 DIA</v>
      </c>
      <c r="E163" s="5" t="e" cm="1">
        <f t="array" ref="E163">_xlfn.IFS(MAIN!$G$4="SA36","sa36",MAIN!$G$4=304,304,MAIN!$G$4=316,304)</f>
        <v>#N/A</v>
      </c>
      <c r="F163" s="38">
        <f>(MAIN!B27*2)*(MAIN!B27*2)*IF(MAIN!$G$4="sa36",15.32,16.5)/144*IF(MAIN!$G$4="sa36",[1]Plate!$C$34,[1]Plate!$I$7)*C163</f>
        <v>0</v>
      </c>
      <c r="G163" s="6" cm="1">
        <f t="array" ref="G163">_xlfn.IFS(MAIN!B27&lt;11,3,MAIN!B27&lt;19,4,MAIN!B27&lt;25,5,MAIN!B27&gt;25,6)*C163</f>
        <v>0</v>
      </c>
    </row>
    <row r="164" spans="1:7" ht="15.75" x14ac:dyDescent="0.5">
      <c r="A164">
        <v>160</v>
      </c>
      <c r="B164" s="32" t="s">
        <v>171</v>
      </c>
      <c r="C164" s="5" cm="1">
        <f t="array" ref="C164">IF(MAIN!$G$27="YES",_xlfn.IFS(MAIN!$B$27&lt;9,4,MAIN!$B$27&lt;15,6,MAIN!$B$27&lt;19,8,MAIN!$B$27&lt;31,10),)</f>
        <v>0</v>
      </c>
      <c r="D164" s="5" t="str">
        <f>CONCATENATE("3/8 X 12 X 24")</f>
        <v>3/8 X 12 X 24</v>
      </c>
      <c r="E164" s="5" t="e" cm="1">
        <f t="array" ref="E164">_xlfn.IFS(MAIN!$G$4="SA36","sa36",MAIN!$G$4=304,304,MAIN!$G$4=316,304)</f>
        <v>#N/A</v>
      </c>
      <c r="F164" s="38">
        <f>C164*12*24*IF(MAIN!$G$4="sa36",15.32,16.5)/144*IF(MAIN!$G$4="sa36",[1]Plate!$C$34,[1]Plate!$I$7)</f>
        <v>0</v>
      </c>
      <c r="G164" s="6">
        <f>G163</f>
        <v>0</v>
      </c>
    </row>
    <row r="165" spans="1:7" ht="15.75" x14ac:dyDescent="0.5">
      <c r="A165">
        <v>161</v>
      </c>
      <c r="B165" s="32" t="s">
        <v>349</v>
      </c>
      <c r="C165" s="5">
        <f>IF(MAIN!F27="YES",MAIN!A27,)</f>
        <v>0</v>
      </c>
      <c r="D165" s="5" t="str">
        <f>CONCATENATE(MAIN!$C$11,", ",MAIN!$C$12,", ",MAIN!$G$12)</f>
        <v>Garlock 3000, SA193-B7, SA193-2H</v>
      </c>
      <c r="E165" s="5"/>
      <c r="F165" s="5" cm="1">
        <f t="array" ref="F165">C165*_xlfn.IFS(MAIN!B27&lt;3.1,150,MAIN!B27&lt;6.1,200,MAIN!B27&lt;10.1,300,MAIN!B27&lt;16.1,500,MAIN!B27&lt;31,750)</f>
        <v>0</v>
      </c>
      <c r="G165" s="6">
        <f>C165*2</f>
        <v>0</v>
      </c>
    </row>
    <row r="166" spans="1:7" ht="15.75" x14ac:dyDescent="0.5">
      <c r="A166">
        <v>162</v>
      </c>
      <c r="B166" s="32" t="s">
        <v>172</v>
      </c>
      <c r="C166" s="5">
        <f>MAIN!$A$28</f>
        <v>0</v>
      </c>
      <c r="D166" s="5" t="str">
        <f>CONCATENATE(MAIN!$B$28," ", MAIN!$E$28," ",MAIN!$C$28)</f>
        <v xml:space="preserve"> 150# RFSO</v>
      </c>
      <c r="E166" s="5" t="e" cm="1">
        <f t="array" ref="E166">IF(MAIN!P108="API",MAIN!G82,_xlfn.IFS(MAIN!$G$4="sa36",[1]master!$AK$184,MAIN!G$4=304,[1]master!$BJ$185,MAIN!$G$4=316,[1]master!$CJ$184))</f>
        <v>#N/A</v>
      </c>
      <c r="F166" s="72" t="e" cm="1">
        <f t="array" ref="F166">VLOOKUP(MAIN!B28,Nozzles!$K$31:$T$47,_xlfn.IFS(AND(MAIN!$G$4="sa36",MAIN!C28="rfso"),2,AND(MAIN!$G$4="sa36",MAIN!C28="rfwn"),3,AND(MAIN!$G$4=304,MAIN!C28="rfso"),5,AND(MAIN!$G$4=304,MAIN!C28="rfwn"),6,AND(MAIN!$G$4=316,MAIN!C28="rfso"),8,AND(MAIN!$G$4=316,MAIN!C28="rfwn"),9),FALSE)*C166</f>
        <v>#N/A</v>
      </c>
      <c r="G166" s="6" t="e" cm="1">
        <f t="array" ref="G166">$C166*VLOOKUP(MAIN!$O$5,Nozzles!$A$2:$P$6,_xlfn.IFS(MAIN!$B28=0.5,2,MAIN!$B28=1,2,MAIN!$B28=1.5,3,MAIN!$B28=2,3,MAIN!$B28=3,4,MAIN!$B28=4,5,MAIN!$B28=5,6,MAIN!$B28=6,7,MAIN!$B28=8,8,MAIN!$B28=10,9,MAIN!$B28=12,10,MAIN!$B28=14,11,MAIN!$B28=16,12,MAIN!$B28=18,13,MAIN!$B28=20,14,MAIN!$B28=24,15,MAIN!$B28=30,16),FALSE)</f>
        <v>#N/A</v>
      </c>
    </row>
    <row r="167" spans="1:7" ht="15.75" x14ac:dyDescent="0.5">
      <c r="A167">
        <v>163</v>
      </c>
      <c r="B167" s="32" t="s">
        <v>173</v>
      </c>
      <c r="C167" s="5">
        <f>MAIN!$A$28</f>
        <v>0</v>
      </c>
      <c r="D167" s="5" t="str">
        <f>CONCATENATE(MAIN!$B$28," ",MAIN!$D$28," X ",MAIN!$H$28)</f>
        <v xml:space="preserve"> SCH40 X 1</v>
      </c>
      <c r="E167" s="5" t="e" cm="1">
        <f t="array" ref="E167">_xlfn.IFS(MAIN!$G$4="sa36",[1]master!$AB$96,MAIN!G$4=304,[1]master!$BA$96,MAIN!$G$4=316,[1]master!$CA$94)</f>
        <v>#N/A</v>
      </c>
      <c r="F167" s="5" t="e" cm="1">
        <f t="array" ref="F167">C167*IF(MAIN!$B$28&gt;13,VLOOKUP(MAIN!$B$28,Nozzles!$A$11:$F$16,_xlfn.IFS(MAIN!$O$5=0.1875,2,MAIN!$O$5=0.25,3,MAIN!$O$5=0.3125,4,MAIN!$O$5=0.375,5,MAIN!$O$5=0.5,6),FALSE),VLOOKUP(MAIN!$B$28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$28</f>
        <v>#N/A</v>
      </c>
      <c r="G167" s="6" t="str">
        <f>IF(MAIN!H28=1,"-",MAIN!A28*1)</f>
        <v>-</v>
      </c>
    </row>
    <row r="168" spans="1:7" ht="15.75" x14ac:dyDescent="0.5">
      <c r="A168">
        <v>164</v>
      </c>
      <c r="B168" s="32" t="s">
        <v>174</v>
      </c>
      <c r="C168" s="5">
        <f>IF(MAIN!$F$28="YES",MAIN!$A$28,)</f>
        <v>0</v>
      </c>
      <c r="D168" s="5" t="str">
        <f>CONCATENATE(MAIN!$B$28," ",MAIN!$E$28," BLIND")</f>
        <v xml:space="preserve"> 150# BLIND</v>
      </c>
      <c r="E168" s="5" t="e" cm="1">
        <f t="array" ref="E168">IF(MAIN!P110="API",MAIN!G84,_xlfn.IFS(MAIN!$G$4="sa36",[1]master!$AK$184,MAIN!G$4=304,[1]master!$BJ$185,MAIN!$G$4=316,[1]master!$CJ$184))</f>
        <v>#N/A</v>
      </c>
      <c r="F168" s="72" t="e" cm="1">
        <f t="array" ref="F168">C168*VLOOKUP(MAIN!B28,Nozzles!$K$31:$T$47,_xlfn.IFS(MAIN!$G$4="sa36",4,MAIN!$G$4=304,7,MAIN!$G$4=316,10),FALSE)</f>
        <v>#N/A</v>
      </c>
      <c r="G168" s="6" t="s">
        <v>232</v>
      </c>
    </row>
    <row r="169" spans="1:7" ht="15.75" x14ac:dyDescent="0.5">
      <c r="A169">
        <v>165</v>
      </c>
      <c r="B169" s="32" t="s">
        <v>175</v>
      </c>
      <c r="C169" s="5">
        <f>IF(MAIN!$G$28="YES",MAIN!$A$28,)</f>
        <v>0</v>
      </c>
      <c r="D169" s="5" t="str">
        <f>CONCATENATE("3/8 X ",MAIN!$B$28*2," DIA")</f>
        <v>3/8 X 0 DIA</v>
      </c>
      <c r="E169" s="5" t="e" cm="1">
        <f t="array" ref="E169">_xlfn.IFS(MAIN!$G$4="SA36","sa36",MAIN!$G$4=304,304,MAIN!$G$4=316,304)</f>
        <v>#N/A</v>
      </c>
      <c r="F169" s="38">
        <f>(MAIN!B28*2)*(MAIN!B28*2)*IF(MAIN!$G$4="sa36",15.32,16.5)/144*IF(MAIN!$G$4="sa36",[1]Plate!$C$34,[1]Plate!$I$7)*C169</f>
        <v>0</v>
      </c>
      <c r="G169" s="6" cm="1">
        <f t="array" ref="G169">_xlfn.IFS(MAIN!B28&lt;11,3,MAIN!B28&lt;19,4,MAIN!B28&lt;25,5,MAIN!B28&gt;25,6)*C169</f>
        <v>0</v>
      </c>
    </row>
    <row r="170" spans="1:7" ht="15.75" x14ac:dyDescent="0.5">
      <c r="A170">
        <v>166</v>
      </c>
      <c r="B170" s="32" t="s">
        <v>176</v>
      </c>
      <c r="C170" s="5" cm="1">
        <f t="array" ref="C170">IF(MAIN!$G$28="YES",_xlfn.IFS(MAIN!$B$28&lt;9,4,MAIN!$B$28&lt;15,6,MAIN!$B$28&lt;19,8,MAIN!$B$28&lt;31,10),)</f>
        <v>0</v>
      </c>
      <c r="D170" s="5" t="str">
        <f>CONCATENATE("3/8 X 12 X 24")</f>
        <v>3/8 X 12 X 24</v>
      </c>
      <c r="E170" s="5" t="e" cm="1">
        <f t="array" ref="E170">_xlfn.IFS(MAIN!$G$4="SA36","sa36",MAIN!$G$4=304,304,MAIN!$G$4=316,304)</f>
        <v>#N/A</v>
      </c>
      <c r="F170" s="38">
        <f>C170*12*24*IF(MAIN!$G$4="sa36",15.32,16.5)/144*IF(MAIN!$G$4="sa36",[1]Plate!$C$34,[1]Plate!$I$7)</f>
        <v>0</v>
      </c>
      <c r="G170" s="6">
        <f>G169</f>
        <v>0</v>
      </c>
    </row>
    <row r="171" spans="1:7" ht="15.75" x14ac:dyDescent="0.5">
      <c r="A171">
        <v>167</v>
      </c>
      <c r="B171" s="32" t="s">
        <v>350</v>
      </c>
      <c r="C171" s="5">
        <f>IF(MAIN!F28="YES",MAIN!A28,)</f>
        <v>0</v>
      </c>
      <c r="D171" s="5" t="str">
        <f>CONCATENATE(MAIN!$C$11,", ",MAIN!$C$12,", ",MAIN!$G$12)</f>
        <v>Garlock 3000, SA193-B7, SA193-2H</v>
      </c>
      <c r="E171" s="5"/>
      <c r="F171" s="5" cm="1">
        <f t="array" ref="F171">C171*_xlfn.IFS(MAIN!B28&lt;3.1,150,MAIN!B28&lt;6.1,200,MAIN!B28&lt;10.1,300,MAIN!B28&lt;16.1,500,MAIN!B28&lt;31,750)</f>
        <v>0</v>
      </c>
      <c r="G171" s="6">
        <f>C171*2</f>
        <v>0</v>
      </c>
    </row>
    <row r="172" spans="1:7" ht="15.75" x14ac:dyDescent="0.5">
      <c r="A172">
        <v>168</v>
      </c>
      <c r="B172" s="32" t="s">
        <v>177</v>
      </c>
      <c r="C172" s="5">
        <f>MAIN!$A$29</f>
        <v>0</v>
      </c>
      <c r="D172" s="5" t="str">
        <f>CONCATENATE(MAIN!$B$29," ", MAIN!$E$29," ",MAIN!$C$29)</f>
        <v xml:space="preserve"> 150# RFSO</v>
      </c>
      <c r="E172" s="5" t="e" cm="1">
        <f t="array" ref="E172">IF(MAIN!P114="API",MAIN!G88,_xlfn.IFS(MAIN!$G$4="sa36",[1]master!$AK$184,MAIN!G$4=304,[1]master!$BJ$185,MAIN!$G$4=316,[1]master!$CJ$184))</f>
        <v>#N/A</v>
      </c>
      <c r="F172" s="72" t="e" cm="1">
        <f t="array" ref="F172">VLOOKUP(MAIN!B29,Nozzles!$K$31:$T$47,_xlfn.IFS(AND(MAIN!$G$4="sa36",MAIN!C29="rfso"),2,AND(MAIN!$G$4="sa36",MAIN!C29="rfwn"),3,AND(MAIN!$G$4=304,MAIN!C29="rfso"),5,AND(MAIN!$G$4=304,MAIN!C29="rfwn"),6,AND(MAIN!$G$4=316,MAIN!C29="rfso"),8,AND(MAIN!$G$4=316,MAIN!C29="rfwn"),9),FALSE)*C172</f>
        <v>#N/A</v>
      </c>
      <c r="G172" s="6" t="e" cm="1">
        <f t="array" ref="G172">$C172*VLOOKUP(MAIN!$O$5,Nozzles!$A$2:$P$6,_xlfn.IFS(MAIN!$B29=0.5,2,MAIN!$B29=1,2,MAIN!$B29=1.5,3,MAIN!$B29=2,3,MAIN!$B29=3,4,MAIN!$B29=4,5,MAIN!$B29=5,6,MAIN!$B29=6,7,MAIN!$B29=8,8,MAIN!$B29=10,9,MAIN!$B29=12,10,MAIN!$B29=14,11,MAIN!$B29=16,12,MAIN!$B29=18,13,MAIN!$B29=20,14,MAIN!$B29=24,15,MAIN!$B29=30,16),FALSE)</f>
        <v>#N/A</v>
      </c>
    </row>
    <row r="173" spans="1:7" ht="15.75" x14ac:dyDescent="0.5">
      <c r="A173">
        <v>169</v>
      </c>
      <c r="B173" s="32" t="s">
        <v>178</v>
      </c>
      <c r="C173" s="5">
        <f>MAIN!$A$29</f>
        <v>0</v>
      </c>
      <c r="D173" s="5" t="str">
        <f>CONCATENATE(MAIN!$B$29," ",MAIN!$D$29," X ",MAIN!$H$29)</f>
        <v xml:space="preserve"> SCH40 X 1</v>
      </c>
      <c r="E173" s="5" t="e" cm="1">
        <f t="array" ref="E173">_xlfn.IFS(MAIN!$G$4="sa36",[1]master!$AB$96,MAIN!G$4=304,[1]master!$BA$96,MAIN!$G$4=316,[1]master!$CA$94)</f>
        <v>#N/A</v>
      </c>
      <c r="F173" s="5" t="e" cm="1">
        <f t="array" ref="F173">C173*IF(MAIN!$B$29&gt;13,VLOOKUP(MAIN!$B$29,Nozzles!$A$11:$F$16,_xlfn.IFS(MAIN!$O$5=0.1875,2,MAIN!$O$5=0.25,3,MAIN!$O$5=0.3125,4,MAIN!$O$5=0.375,5,MAIN!$O$5=0.5,6),FALSE),VLOOKUP(MAIN!$B$29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$29</f>
        <v>#N/A</v>
      </c>
      <c r="G173" s="6" t="str">
        <f>IF(MAIN!H29=1,"-",MAIN!A29*1)</f>
        <v>-</v>
      </c>
    </row>
    <row r="174" spans="1:7" ht="15.75" x14ac:dyDescent="0.5">
      <c r="A174">
        <v>170</v>
      </c>
      <c r="B174" s="32" t="s">
        <v>179</v>
      </c>
      <c r="C174" s="5">
        <f>IF(MAIN!$F$29="YES",MAIN!$A$29,)</f>
        <v>0</v>
      </c>
      <c r="D174" s="5" t="str">
        <f>CONCATENATE(MAIN!$B$29," ",MAIN!$E$29," BLIND")</f>
        <v xml:space="preserve"> 150# BLIND</v>
      </c>
      <c r="E174" s="5" t="e" cm="1">
        <f t="array" ref="E174">IF(MAIN!P116="API",MAIN!G90,_xlfn.IFS(MAIN!$G$4="sa36",[1]master!$AK$184,MAIN!G$4=304,[1]master!$BJ$185,MAIN!$G$4=316,[1]master!$CJ$184))</f>
        <v>#N/A</v>
      </c>
      <c r="F174" s="72" t="e" cm="1">
        <f t="array" ref="F174">C174*VLOOKUP(MAIN!B29,Nozzles!$K$31:$T$47,_xlfn.IFS(MAIN!$G$4="sa36",4,MAIN!$G$4=304,7,MAIN!$G$4=316,10),FALSE)</f>
        <v>#N/A</v>
      </c>
      <c r="G174" s="6" t="s">
        <v>232</v>
      </c>
    </row>
    <row r="175" spans="1:7" ht="15.75" x14ac:dyDescent="0.5">
      <c r="A175">
        <v>171</v>
      </c>
      <c r="B175" s="32" t="s">
        <v>180</v>
      </c>
      <c r="C175" s="5">
        <f>IF(MAIN!$G$29="YES",MAIN!$A$29,)</f>
        <v>0</v>
      </c>
      <c r="D175" s="5" t="str">
        <f>CONCATENATE("3/8 X ",MAIN!$B$29*2," DIA")</f>
        <v>3/8 X 0 DIA</v>
      </c>
      <c r="E175" s="5" t="e" cm="1">
        <f t="array" ref="E175">_xlfn.IFS(MAIN!$G$4="SA36","sa36",MAIN!$G$4=304,304,MAIN!$G$4=316,304)</f>
        <v>#N/A</v>
      </c>
      <c r="F175" s="38">
        <f>(MAIN!B29*2)*(MAIN!B29*2)*IF(MAIN!$G$4="sa36",15.32,16.5)/144*IF(MAIN!$G$4="sa36",[1]Plate!$C$34,[1]Plate!$I$7)*C175</f>
        <v>0</v>
      </c>
      <c r="G175" s="6" cm="1">
        <f t="array" ref="G175">_xlfn.IFS(MAIN!B29&lt;11,3,MAIN!B29&lt;19,4,MAIN!B29&lt;25,5,MAIN!B29&gt;25,6)*C175</f>
        <v>0</v>
      </c>
    </row>
    <row r="176" spans="1:7" ht="15.75" x14ac:dyDescent="0.5">
      <c r="A176">
        <v>172</v>
      </c>
      <c r="B176" s="32" t="s">
        <v>181</v>
      </c>
      <c r="C176" s="5" cm="1">
        <f t="array" ref="C176">IF(MAIN!$G$29="YES",_xlfn.IFS(MAIN!$B$29&lt;9,4,MAIN!$B$29&lt;15,6,MAIN!$B$29&lt;19,8,MAIN!$B$29&lt;31,10),)</f>
        <v>0</v>
      </c>
      <c r="D176" s="5" t="str">
        <f>CONCATENATE("3/8 X 12 X 24")</f>
        <v>3/8 X 12 X 24</v>
      </c>
      <c r="E176" s="5" t="e" cm="1">
        <f t="array" ref="E176">_xlfn.IFS(MAIN!$G$4="SA36","sa36",MAIN!$G$4=304,304,MAIN!$G$4=316,304)</f>
        <v>#N/A</v>
      </c>
      <c r="F176" s="38">
        <f>C176*12*24*IF(MAIN!$G$4="sa36",15.32,16.5)/144*IF(MAIN!$G$4="sa36",[1]Plate!$C$34,[1]Plate!$I$7)</f>
        <v>0</v>
      </c>
      <c r="G176" s="75">
        <f>G175</f>
        <v>0</v>
      </c>
    </row>
    <row r="177" spans="1:7" ht="15.75" x14ac:dyDescent="0.5">
      <c r="A177">
        <v>173</v>
      </c>
      <c r="B177" s="32" t="s">
        <v>351</v>
      </c>
      <c r="C177" s="5">
        <f>IF(MAIN!F29="YES",MAIN!A29,)</f>
        <v>0</v>
      </c>
      <c r="D177" s="5" t="str">
        <f>CONCATENATE(MAIN!$C$11,", ",MAIN!$C$12,", ",MAIN!$G$12)</f>
        <v>Garlock 3000, SA193-B7, SA193-2H</v>
      </c>
      <c r="E177" s="5"/>
      <c r="F177" s="5" cm="1">
        <f t="array" ref="F177">C177*_xlfn.IFS(MAIN!B29&lt;3.1,150,MAIN!B29&lt;6.1,200,MAIN!B29&lt;10.1,300,MAIN!B29&lt;16.1,500,MAIN!B29&lt;31,750)</f>
        <v>0</v>
      </c>
      <c r="G177" s="6">
        <f>C177*2</f>
        <v>0</v>
      </c>
    </row>
    <row r="178" spans="1:7" ht="15.75" x14ac:dyDescent="0.5">
      <c r="A178">
        <v>174</v>
      </c>
      <c r="B178" s="32" t="s">
        <v>182</v>
      </c>
      <c r="C178" s="5">
        <f>MAIN!$A$30</f>
        <v>0</v>
      </c>
      <c r="D178" s="5" t="str">
        <f>CONCATENATE(MAIN!$B$30," ", MAIN!$E$30," ",MAIN!$C$30)</f>
        <v xml:space="preserve"> 150# RFSO</v>
      </c>
      <c r="E178" s="5" t="e" cm="1">
        <f t="array" ref="E178">IF(MAIN!P120="API",MAIN!G94,_xlfn.IFS(MAIN!$G$4="sa36",[1]master!$AK$184,MAIN!G$4=304,[1]master!$BJ$185,MAIN!$G$4=316,[1]master!$CJ$184))</f>
        <v>#N/A</v>
      </c>
      <c r="F178" s="72" t="e" cm="1">
        <f t="array" ref="F178">VLOOKUP(MAIN!B30,Nozzles!$K$31:$T$47,_xlfn.IFS(AND(MAIN!$G$4="sa36",MAIN!C30="rfso"),2,AND(MAIN!$G$4="sa36",MAIN!C30="rfwn"),3,AND(MAIN!$G$4=304,MAIN!C30="rfso"),5,AND(MAIN!$G$4=304,MAIN!C30="rfwn"),6,AND(MAIN!$G$4=316,MAIN!C30="rfso"),8,AND(MAIN!$G$4=316,MAIN!C30="rfwn"),9),FALSE)*C178</f>
        <v>#N/A</v>
      </c>
      <c r="G178" s="6" t="e" cm="1">
        <f t="array" ref="G178">$C178*VLOOKUP(MAIN!$O$5,Nozzles!$A$2:$P$6,_xlfn.IFS(MAIN!$B30=0.5,2,MAIN!$B30=1,2,MAIN!$B30=1.5,3,MAIN!$B30=2,3,MAIN!$B30=3,4,MAIN!$B30=4,5,MAIN!$B30=5,6,MAIN!$B30=6,7,MAIN!$B30=8,8,MAIN!$B30=10,9,MAIN!$B30=12,10,MAIN!$B30=14,11,MAIN!$B30=16,12,MAIN!$B30=18,13,MAIN!$B30=20,14,MAIN!$B30=24,15,MAIN!$B30=30,16),FALSE)</f>
        <v>#N/A</v>
      </c>
    </row>
    <row r="179" spans="1:7" ht="15.75" x14ac:dyDescent="0.5">
      <c r="A179">
        <v>175</v>
      </c>
      <c r="B179" s="32" t="s">
        <v>183</v>
      </c>
      <c r="C179" s="5">
        <f>MAIN!$A$30</f>
        <v>0</v>
      </c>
      <c r="D179" s="5" t="str">
        <f>CONCATENATE(MAIN!$B$30," ",MAIN!$D$30," X ",MAIN!$H$30)</f>
        <v xml:space="preserve"> SCH40 X 1</v>
      </c>
      <c r="E179" s="5" t="e" cm="1">
        <f t="array" ref="E179">_xlfn.IFS(MAIN!$G$4="sa36",[1]master!$AB$96,MAIN!G$4=304,[1]master!$BA$96,MAIN!$G$4=316,[1]master!$CA$94)</f>
        <v>#N/A</v>
      </c>
      <c r="F179" s="5" t="e" cm="1">
        <f t="array" ref="F179">C179*IF(MAIN!$B$30&gt;13,VLOOKUP(MAIN!$B$30,Nozzles!$A$11:$F$16,_xlfn.IFS(MAIN!$O$5=0.1875,2,MAIN!$O$5=0.25,3,MAIN!$O$5=0.3125,4,MAIN!$O$5=0.375,5,MAIN!$O$5=0.5,6),FALSE),VLOOKUP(MAIN!$B$30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$30</f>
        <v>#N/A</v>
      </c>
      <c r="G179" s="6" t="str">
        <f>IF(MAIN!H30=1,"-",MAIN!A30*1)</f>
        <v>-</v>
      </c>
    </row>
    <row r="180" spans="1:7" ht="15.75" x14ac:dyDescent="0.5">
      <c r="A180">
        <v>176</v>
      </c>
      <c r="B180" s="32" t="s">
        <v>184</v>
      </c>
      <c r="C180" s="5">
        <f>IF(MAIN!$F$30="YES",MAIN!$A$30,)</f>
        <v>0</v>
      </c>
      <c r="D180" s="5" t="str">
        <f>CONCATENATE(MAIN!$B$30," ",MAIN!$E$30," BLIND")</f>
        <v xml:space="preserve"> 150# BLIND</v>
      </c>
      <c r="E180" s="5" t="e" cm="1">
        <f t="array" ref="E180">IF(MAIN!P122="API",MAIN!G96,_xlfn.IFS(MAIN!$G$4="sa36",[1]master!$AK$184,MAIN!G$4=304,[1]master!$BJ$185,MAIN!$G$4=316,[1]master!$CJ$184))</f>
        <v>#N/A</v>
      </c>
      <c r="F180" s="72" t="e" cm="1">
        <f t="array" ref="F180">C180*VLOOKUP(MAIN!B30,Nozzles!$K$31:$T$47,_xlfn.IFS(MAIN!$G$4="sa36",4,MAIN!$G$4=304,7,MAIN!$G$4=316,10),FALSE)</f>
        <v>#N/A</v>
      </c>
      <c r="G180" s="6" t="s">
        <v>232</v>
      </c>
    </row>
    <row r="181" spans="1:7" ht="15.75" x14ac:dyDescent="0.5">
      <c r="A181">
        <v>177</v>
      </c>
      <c r="B181" s="32" t="s">
        <v>185</v>
      </c>
      <c r="C181" s="5">
        <f>IF(MAIN!$G$30="YES",MAIN!$A$30,)</f>
        <v>0</v>
      </c>
      <c r="D181" s="5" t="str">
        <f>CONCATENATE("3/8 X ",MAIN!$B$30*2," DIA")</f>
        <v>3/8 X 0 DIA</v>
      </c>
      <c r="E181" s="5" t="e" cm="1">
        <f t="array" ref="E181">_xlfn.IFS(MAIN!$G$4="SA36","sa36",MAIN!$G$4=304,304,MAIN!$G$4=316,304)</f>
        <v>#N/A</v>
      </c>
      <c r="F181" s="38">
        <f>(MAIN!B30*2)*(MAIN!B30*2)*IF(MAIN!$G$4="sa36",15.32,16.5)/144*IF(MAIN!$G$4="sa36",[1]Plate!$C$34,[1]Plate!$I$7)*C181</f>
        <v>0</v>
      </c>
      <c r="G181" s="6" cm="1">
        <f t="array" ref="G181">_xlfn.IFS(MAIN!B30&lt;11,3,MAIN!B30&lt;19,4,MAIN!B30&lt;25,5,MAIN!B30&gt;25,6)*C181</f>
        <v>0</v>
      </c>
    </row>
    <row r="182" spans="1:7" ht="15.75" x14ac:dyDescent="0.5">
      <c r="A182">
        <v>178</v>
      </c>
      <c r="B182" s="32" t="s">
        <v>186</v>
      </c>
      <c r="C182" s="5" cm="1">
        <f t="array" ref="C182">IF(MAIN!$G$30="YES",_xlfn.IFS(MAIN!$B$30&lt;9,4,MAIN!$B$30&lt;15,6,MAIN!$B$30&lt;19,8,MAIN!$B$30&lt;31,10),)</f>
        <v>0</v>
      </c>
      <c r="D182" s="5" t="str">
        <f>CONCATENATE("3/8 X 12 X 24")</f>
        <v>3/8 X 12 X 24</v>
      </c>
      <c r="E182" s="5" t="e" cm="1">
        <f t="array" ref="E182">_xlfn.IFS(MAIN!$G$4="SA36","sa36",MAIN!$G$4=304,304,MAIN!$G$4=316,304)</f>
        <v>#N/A</v>
      </c>
      <c r="F182" s="38">
        <f>C182*12*24*IF(MAIN!$G$4="sa36",15.32,16.5)/144*IF(MAIN!$G$4="sa36",[1]Plate!$C$34,[1]Plate!$I$7)</f>
        <v>0</v>
      </c>
      <c r="G182" s="74">
        <f>G181</f>
        <v>0</v>
      </c>
    </row>
    <row r="183" spans="1:7" ht="15.75" x14ac:dyDescent="0.5">
      <c r="A183">
        <v>179</v>
      </c>
      <c r="B183" s="32" t="s">
        <v>352</v>
      </c>
      <c r="C183" s="5">
        <f>IF(MAIN!F30="YES",MAIN!A30,)</f>
        <v>0</v>
      </c>
      <c r="D183" s="5" t="str">
        <f>CONCATENATE(MAIN!$C$11,", ",MAIN!$C$12,", ",MAIN!$G$12)</f>
        <v>Garlock 3000, SA193-B7, SA193-2H</v>
      </c>
      <c r="E183" s="5"/>
      <c r="F183" s="5" cm="1">
        <f t="array" ref="F183">C183*_xlfn.IFS(MAIN!B30&lt;3.1,150,MAIN!B30&lt;6.1,200,MAIN!B30&lt;10.1,300,MAIN!B30&lt;16.1,500,MAIN!B30&lt;31,750)</f>
        <v>0</v>
      </c>
      <c r="G183" s="6">
        <f>C183*2</f>
        <v>0</v>
      </c>
    </row>
    <row r="184" spans="1:7" ht="15.75" x14ac:dyDescent="0.5">
      <c r="A184">
        <v>180</v>
      </c>
      <c r="B184" s="32" t="s">
        <v>187</v>
      </c>
      <c r="C184" s="5">
        <f>MAIN!$A$31</f>
        <v>0</v>
      </c>
      <c r="D184" s="5" t="str">
        <f>CONCATENATE(MAIN!$B$31," ", MAIN!$E$31," ",MAIN!$C$31)</f>
        <v xml:space="preserve"> 150# RFSO</v>
      </c>
      <c r="E184" s="5" t="e" cm="1">
        <f t="array" ref="E184">IF(MAIN!P126="API",MAIN!G100,_xlfn.IFS(MAIN!$G$4="sa36",[1]master!$AK$184,MAIN!G$4=304,[1]master!$BJ$185,MAIN!$G$4=316,[1]master!$CJ$184))</f>
        <v>#N/A</v>
      </c>
      <c r="F184" s="72" t="e" cm="1">
        <f t="array" ref="F184">VLOOKUP(MAIN!B31,Nozzles!$K$31:$T$47,_xlfn.IFS(AND(MAIN!$G$4="sa36",MAIN!C31="rfso"),2,AND(MAIN!$G$4="sa36",MAIN!C31="rfwn"),3,AND(MAIN!$G$4=304,MAIN!C31="rfso"),5,AND(MAIN!$G$4=304,MAIN!C31="rfwn"),6,AND(MAIN!$G$4=316,MAIN!C31="rfso"),8,AND(MAIN!$G$4=316,MAIN!C31="rfwn"),9),FALSE)*C184</f>
        <v>#N/A</v>
      </c>
      <c r="G184" s="6" t="e" cm="1">
        <f t="array" ref="G184">$C184*VLOOKUP(MAIN!$O$5,Nozzles!$A$2:$P$6,_xlfn.IFS(MAIN!$B31=0.5,2,MAIN!$B31=1,2,MAIN!$B31=1.5,3,MAIN!$B31=2,3,MAIN!$B31=3,4,MAIN!$B31=4,5,MAIN!$B31=5,6,MAIN!$B31=6,7,MAIN!$B31=8,8,MAIN!$B31=10,9,MAIN!$B31=12,10,MAIN!$B31=14,11,MAIN!$B31=16,12,MAIN!$B31=18,13,MAIN!$B31=20,14,MAIN!$B31=24,15,MAIN!$B31=30,16),FALSE)</f>
        <v>#N/A</v>
      </c>
    </row>
    <row r="185" spans="1:7" ht="15.75" x14ac:dyDescent="0.5">
      <c r="A185">
        <v>181</v>
      </c>
      <c r="B185" s="32" t="s">
        <v>188</v>
      </c>
      <c r="C185" s="5">
        <f>MAIN!$A$31</f>
        <v>0</v>
      </c>
      <c r="D185" s="5" t="str">
        <f>CONCATENATE(MAIN!$B$31," ",MAIN!$D$31," X ",MAIN!$H$31)</f>
        <v xml:space="preserve"> SCH40 X 1</v>
      </c>
      <c r="E185" s="5" t="e" cm="1">
        <f t="array" ref="E185">_xlfn.IFS(MAIN!$G$4="sa36",[1]master!$AB$96,MAIN!G$4=304,[1]master!$BA$96,MAIN!$G$4=316,[1]master!$CA$94)</f>
        <v>#N/A</v>
      </c>
      <c r="F185" s="5" t="e" cm="1">
        <f t="array" ref="F185">C185*IF(MAIN!$B$31&gt;13,VLOOKUP(MAIN!$B$31,Nozzles!$A$11:$F$16,_xlfn.IFS(MAIN!$O$5=0.1875,2,MAIN!$O$5=0.25,3,MAIN!$O$5=0.3125,4,MAIN!$O$5=0.375,5,MAIN!$O$5=0.5,6),FALSE),VLOOKUP(MAIN!$B$31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$31</f>
        <v>#N/A</v>
      </c>
      <c r="G185" s="6" t="str">
        <f>IF(MAIN!H31=1,"-",MAIN!A31*1)</f>
        <v>-</v>
      </c>
    </row>
    <row r="186" spans="1:7" ht="15.75" x14ac:dyDescent="0.5">
      <c r="A186">
        <v>182</v>
      </c>
      <c r="B186" s="32" t="s">
        <v>189</v>
      </c>
      <c r="C186" s="5">
        <f>IF(MAIN!$F$31="YES",MAIN!$A$31,)</f>
        <v>0</v>
      </c>
      <c r="D186" s="5" t="str">
        <f>CONCATENATE(MAIN!$B$31," ",MAIN!$E$31," BLIND")</f>
        <v xml:space="preserve"> 150# BLIND</v>
      </c>
      <c r="E186" s="5" t="e" cm="1">
        <f t="array" ref="E186">IF(MAIN!P128="API",MAIN!G102,_xlfn.IFS(MAIN!$G$4="sa36",[1]master!$AK$184,MAIN!G$4=304,[1]master!$BJ$185,MAIN!$G$4=316,[1]master!$CJ$184))</f>
        <v>#N/A</v>
      </c>
      <c r="F186" s="72" t="e" cm="1">
        <f t="array" ref="F186">C186*VLOOKUP(MAIN!B31,Nozzles!$K$31:$T$47,_xlfn.IFS(MAIN!$G$4="sa36",4,MAIN!$G$4=304,7,MAIN!$G$4=316,10),FALSE)</f>
        <v>#N/A</v>
      </c>
      <c r="G186" s="6" t="s">
        <v>232</v>
      </c>
    </row>
    <row r="187" spans="1:7" ht="15.75" x14ac:dyDescent="0.5">
      <c r="A187">
        <v>183</v>
      </c>
      <c r="B187" s="32" t="s">
        <v>190</v>
      </c>
      <c r="C187" s="5">
        <f>IF(MAIN!$G$31="YES",MAIN!$A$31,)</f>
        <v>0</v>
      </c>
      <c r="D187" s="5" t="str">
        <f>CONCATENATE("3/8 X ",MAIN!$B$31*2," DIA")</f>
        <v>3/8 X 0 DIA</v>
      </c>
      <c r="E187" s="5" t="e" cm="1">
        <f t="array" ref="E187">_xlfn.IFS(MAIN!$G$4="SA36","sa36",MAIN!$G$4=304,304,MAIN!$G$4=316,304)</f>
        <v>#N/A</v>
      </c>
      <c r="F187" s="38">
        <f>(MAIN!B31*2)*(MAIN!B31*2)*IF(MAIN!$G$4="sa36",15.32,16.5)/144*IF(MAIN!$G$4="sa36",[1]Plate!$C$34,[1]Plate!$I$7)*C187</f>
        <v>0</v>
      </c>
      <c r="G187" s="6" cm="1">
        <f t="array" ref="G187">_xlfn.IFS(MAIN!B31&lt;11,3,MAIN!B31&lt;19,4,MAIN!B31&lt;25,5,MAIN!B31&gt;25,6)*C187</f>
        <v>0</v>
      </c>
    </row>
    <row r="188" spans="1:7" ht="15.75" x14ac:dyDescent="0.5">
      <c r="A188">
        <v>184</v>
      </c>
      <c r="B188" s="32" t="s">
        <v>191</v>
      </c>
      <c r="C188" s="5" cm="1">
        <f t="array" ref="C188">IF(MAIN!$G$31="YES",_xlfn.IFS(MAIN!$B$31&lt;9,4,MAIN!$B$31&lt;15,6,MAIN!$B$31&lt;19,8,MAIN!$B$31&lt;31,10),)</f>
        <v>0</v>
      </c>
      <c r="D188" s="5" t="str">
        <f>CONCATENATE("3/8 X 12 X 24")</f>
        <v>3/8 X 12 X 24</v>
      </c>
      <c r="E188" s="5" t="e" cm="1">
        <f t="array" ref="E188">_xlfn.IFS(MAIN!$G$4="SA36","sa36",MAIN!$G$4=304,304,MAIN!$G$4=316,304)</f>
        <v>#N/A</v>
      </c>
      <c r="F188" s="38">
        <f>C188*12*24*IF(MAIN!$G$4="sa36",15.32,16.5)/144*IF(MAIN!$G$4="sa36",[1]Plate!$C$34,[1]Plate!$I$7)</f>
        <v>0</v>
      </c>
      <c r="G188" s="74">
        <f>G187</f>
        <v>0</v>
      </c>
    </row>
    <row r="189" spans="1:7" ht="15.75" x14ac:dyDescent="0.5">
      <c r="A189">
        <v>185</v>
      </c>
      <c r="B189" s="32" t="s">
        <v>353</v>
      </c>
      <c r="C189" s="5">
        <f>IF(MAIN!F31="YES",MAIN!A31,)</f>
        <v>0</v>
      </c>
      <c r="D189" s="5" t="str">
        <f>CONCATENATE(MAIN!$C$11,", ",MAIN!$C$12,", ",MAIN!$G$12)</f>
        <v>Garlock 3000, SA193-B7, SA193-2H</v>
      </c>
      <c r="E189" s="5"/>
      <c r="F189" s="5" cm="1">
        <f t="array" ref="F189">C189*_xlfn.IFS(MAIN!B31&lt;3.1,150,MAIN!B31&lt;6.1,200,MAIN!B31&lt;10.1,300,MAIN!B31&lt;16.1,500,MAIN!B31&lt;31,750)</f>
        <v>0</v>
      </c>
      <c r="G189" s="6">
        <f>C189*2</f>
        <v>0</v>
      </c>
    </row>
    <row r="190" spans="1:7" ht="15.75" x14ac:dyDescent="0.5">
      <c r="A190">
        <v>186</v>
      </c>
      <c r="B190" s="32" t="s">
        <v>192</v>
      </c>
      <c r="C190" s="5">
        <f>MAIN!$A$32</f>
        <v>0</v>
      </c>
      <c r="D190" s="5" t="str">
        <f>CONCATENATE(MAIN!$B$32," ", MAIN!$E$32," ",MAIN!$C$32)</f>
        <v xml:space="preserve"> 150# RFSO</v>
      </c>
      <c r="E190" s="5" t="e" cm="1">
        <f t="array" ref="E190">IF(MAIN!P132="API",MAIN!G106,_xlfn.IFS(MAIN!$G$4="sa36",[1]master!$AK$184,MAIN!G$4=304,[1]master!$BJ$185,MAIN!$G$4=316,[1]master!$CJ$184))</f>
        <v>#N/A</v>
      </c>
      <c r="F190" s="72" t="e" cm="1">
        <f t="array" ref="F190">VLOOKUP(MAIN!B32,Nozzles!$K$31:$T$47,_xlfn.IFS(AND(MAIN!$G$4="sa36",MAIN!C32="rfso"),2,AND(MAIN!$G$4="sa36",MAIN!C32="rfwn"),3,AND(MAIN!$G$4=304,MAIN!C32="rfso"),5,AND(MAIN!$G$4=304,MAIN!C32="rfwn"),6,AND(MAIN!$G$4=316,MAIN!C32="rfso"),8,AND(MAIN!$G$4=316,MAIN!C32="rfwn"),9),FALSE)*C190</f>
        <v>#N/A</v>
      </c>
      <c r="G190" s="6" t="e" cm="1">
        <f t="array" ref="G190">$C190*VLOOKUP(MAIN!$O$5,Nozzles!$A$2:$P$6,_xlfn.IFS(MAIN!$B32=0.5,2,MAIN!$B32=1,2,MAIN!$B32=1.5,3,MAIN!$B32=2,3,MAIN!$B32=3,4,MAIN!$B32=4,5,MAIN!$B32=5,6,MAIN!$B32=6,7,MAIN!$B32=8,8,MAIN!$B32=10,9,MAIN!$B32=12,10,MAIN!$B32=14,11,MAIN!$B32=16,12,MAIN!$B32=18,13,MAIN!$B32=20,14,MAIN!$B32=24,15,MAIN!$B32=30,16),FALSE)</f>
        <v>#N/A</v>
      </c>
    </row>
    <row r="191" spans="1:7" ht="15.75" x14ac:dyDescent="0.5">
      <c r="A191">
        <v>187</v>
      </c>
      <c r="B191" s="32" t="s">
        <v>193</v>
      </c>
      <c r="C191" s="5">
        <f>MAIN!$A$32</f>
        <v>0</v>
      </c>
      <c r="D191" s="5" t="str">
        <f>CONCATENATE(MAIN!$B$32," ",MAIN!$D$32," X ",MAIN!$H$32)</f>
        <v xml:space="preserve"> SCH40 X 1</v>
      </c>
      <c r="E191" s="5" t="e" cm="1">
        <f t="array" ref="E191">_xlfn.IFS(MAIN!$G$4="sa36",[1]master!$AB$96,MAIN!G$4=304,[1]master!$BA$96,MAIN!$G$4=316,[1]master!$CA$94)</f>
        <v>#N/A</v>
      </c>
      <c r="F191" s="5" t="e" cm="1">
        <f t="array" ref="F191">C191*IF(MAIN!$B$32&gt;13,VLOOKUP(MAIN!$B$32,Nozzles!$A$11:$F$16,_xlfn.IFS(MAIN!$O$5=0.1875,2,MAIN!$O$5=0.25,3,MAIN!$O$5=0.3125,4,MAIN!$O$5=0.375,5,MAIN!$O$5=0.5,6),FALSE),VLOOKUP(MAIN!$B$32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$32</f>
        <v>#N/A</v>
      </c>
      <c r="G191" s="6" t="str">
        <f>IF(MAIN!H32=1,"-",MAIN!A32*1)</f>
        <v>-</v>
      </c>
    </row>
    <row r="192" spans="1:7" ht="15.75" x14ac:dyDescent="0.5">
      <c r="A192">
        <v>188</v>
      </c>
      <c r="B192" s="32" t="s">
        <v>194</v>
      </c>
      <c r="C192" s="5">
        <f>IF(MAIN!$F$32="YES",MAIN!$A$32,)</f>
        <v>0</v>
      </c>
      <c r="D192" s="5" t="str">
        <f>CONCATENATE(MAIN!$B$32," ",MAIN!$E$32," BLIND")</f>
        <v xml:space="preserve"> 150# BLIND</v>
      </c>
      <c r="E192" s="5" t="e" cm="1">
        <f t="array" ref="E192">IF(MAIN!P134="API",MAIN!G108,_xlfn.IFS(MAIN!$G$4="sa36",[1]master!$AK$184,MAIN!G$4=304,[1]master!$BJ$185,MAIN!$G$4=316,[1]master!$CJ$184))</f>
        <v>#N/A</v>
      </c>
      <c r="F192" s="72" t="e" cm="1">
        <f t="array" ref="F192">C192*VLOOKUP(MAIN!B32,Nozzles!$K$31:$T$47,_xlfn.IFS(MAIN!$G$4="sa36",4,MAIN!$G$4=304,7,MAIN!$G$4=316,10),FALSE)</f>
        <v>#N/A</v>
      </c>
      <c r="G192" s="6" t="s">
        <v>232</v>
      </c>
    </row>
    <row r="193" spans="1:7" ht="15.75" x14ac:dyDescent="0.5">
      <c r="A193">
        <v>189</v>
      </c>
      <c r="B193" s="32" t="s">
        <v>195</v>
      </c>
      <c r="C193" s="5">
        <f>IF(MAIN!$G$32="YES",MAIN!$A$32,)</f>
        <v>0</v>
      </c>
      <c r="D193" s="5" t="str">
        <f>CONCATENATE("3/8 X ",MAIN!$B$32*2," DIA")</f>
        <v>3/8 X 0 DIA</v>
      </c>
      <c r="E193" s="5" t="e" cm="1">
        <f t="array" ref="E193">_xlfn.IFS(MAIN!$G$4="SA36","sa36",MAIN!$G$4=304,304,MAIN!$G$4=316,304)</f>
        <v>#N/A</v>
      </c>
      <c r="F193" s="73">
        <f>(MAIN!B32*2)*(MAIN!B32*2)*IF(MAIN!$G$4="sa36",15.32,16.5)/144*IF(MAIN!$G$4="sa36",[1]Plate!$C$34,[1]Plate!$I$7)*C193</f>
        <v>0</v>
      </c>
      <c r="G193" s="6" cm="1">
        <f t="array" ref="G193">_xlfn.IFS(MAIN!B32&lt;11,3,MAIN!B32&lt;19,4,MAIN!B32&lt;25,5,MAIN!B32&gt;25,6)*C193</f>
        <v>0</v>
      </c>
    </row>
    <row r="194" spans="1:7" ht="15.75" x14ac:dyDescent="0.5">
      <c r="A194">
        <v>190</v>
      </c>
      <c r="B194" s="32" t="s">
        <v>196</v>
      </c>
      <c r="C194" s="5" cm="1">
        <f t="array" ref="C194">IF(MAIN!$G$32="YES",_xlfn.IFS(MAIN!$B$32&lt;9,4,MAIN!$B$32&lt;15,6,MAIN!$B$32&lt;19,8,MAIN!$B$32&lt;31,10),)</f>
        <v>0</v>
      </c>
      <c r="D194" s="5" t="str">
        <f>CONCATENATE("3/8 X 12 X 24")</f>
        <v>3/8 X 12 X 24</v>
      </c>
      <c r="E194" s="5" t="e" cm="1">
        <f t="array" ref="E194">_xlfn.IFS(MAIN!$G$4="SA36","sa36",MAIN!$G$4=304,304,MAIN!$G$4=316,304)</f>
        <v>#N/A</v>
      </c>
      <c r="F194" s="73">
        <f>C194*12*24*IF(MAIN!$G$4="sa36",15.32,16.5)/144*IF(MAIN!$G$4="sa36",[1]Plate!$C$34,[1]Plate!$I$7)</f>
        <v>0</v>
      </c>
      <c r="G194" s="74">
        <f>G193</f>
        <v>0</v>
      </c>
    </row>
    <row r="195" spans="1:7" ht="15.75" x14ac:dyDescent="0.5">
      <c r="A195">
        <v>191</v>
      </c>
      <c r="B195" s="32" t="s">
        <v>354</v>
      </c>
      <c r="C195" s="5">
        <f>IF(MAIN!F32="YES",MAIN!A32,)</f>
        <v>0</v>
      </c>
      <c r="D195" s="5" t="str">
        <f>CONCATENATE(MAIN!$C$11,", ",MAIN!$C$12,", ",MAIN!$G$12)</f>
        <v>Garlock 3000, SA193-B7, SA193-2H</v>
      </c>
      <c r="E195" s="5"/>
      <c r="F195" s="71" cm="1">
        <f t="array" ref="F195">C195*_xlfn.IFS(MAIN!B32&lt;3.1,150,MAIN!B32&lt;6.1,200,MAIN!B32&lt;10.1,300,MAIN!B32&lt;16.1,500,MAIN!B32&lt;31,750)</f>
        <v>0</v>
      </c>
      <c r="G195" s="6">
        <f>C195*2</f>
        <v>0</v>
      </c>
    </row>
    <row r="196" spans="1:7" ht="15.75" x14ac:dyDescent="0.5">
      <c r="A196">
        <v>192</v>
      </c>
      <c r="B196" s="32" t="s">
        <v>197</v>
      </c>
      <c r="C196" s="5">
        <f>MAIN!$A$33</f>
        <v>0</v>
      </c>
      <c r="D196" s="5" t="str">
        <f>CONCATENATE(MAIN!$B$33," ", MAIN!$E$33," ",MAIN!$C$33)</f>
        <v xml:space="preserve"> 150# RFSO</v>
      </c>
      <c r="E196" s="5" t="e" cm="1">
        <f t="array" ref="E196">IF(MAIN!P138="API",MAIN!G112,_xlfn.IFS(MAIN!$G$4="sa36",[1]master!$AK$184,MAIN!G$4=304,[1]master!$BJ$185,MAIN!$G$4=316,[1]master!$CJ$184))</f>
        <v>#N/A</v>
      </c>
      <c r="F196" s="76" t="e" cm="1">
        <f t="array" ref="F196">VLOOKUP(MAIN!B33,Nozzles!$K$31:$T$47,_xlfn.IFS(AND(MAIN!$G$4="sa36",MAIN!C33="rfso"),2,AND(MAIN!$G$4="sa36",MAIN!C33="rfwn"),3,AND(MAIN!$G$4=304,MAIN!C33="rfso"),5,AND(MAIN!$G$4=304,MAIN!C33="rfwn"),6,AND(MAIN!$G$4=316,MAIN!C33="rfso"),8,AND(MAIN!$G$4=316,MAIN!C33="rfwn"),9),FALSE)*C196</f>
        <v>#N/A</v>
      </c>
      <c r="G196" s="6" t="e" cm="1">
        <f t="array" ref="G196">$C196*VLOOKUP(MAIN!$O$5,Nozzles!$A$2:$P$6,_xlfn.IFS(MAIN!$B33=0.5,2,MAIN!$B33=1,2,MAIN!$B33=1.5,3,MAIN!$B33=2,3,MAIN!$B33=3,4,MAIN!$B33=4,5,MAIN!$B33=5,6,MAIN!$B33=6,7,MAIN!$B33=8,8,MAIN!$B33=10,9,MAIN!$B33=12,10,MAIN!$B33=14,11,MAIN!$B33=16,12,MAIN!$B33=18,13,MAIN!$B33=20,14,MAIN!$B33=24,15,MAIN!$B33=30,16),FALSE)</f>
        <v>#N/A</v>
      </c>
    </row>
    <row r="197" spans="1:7" ht="15.75" x14ac:dyDescent="0.5">
      <c r="A197">
        <v>193</v>
      </c>
      <c r="B197" s="32" t="s">
        <v>198</v>
      </c>
      <c r="C197" s="5">
        <f>MAIN!$A$33</f>
        <v>0</v>
      </c>
      <c r="D197" s="5" t="str">
        <f>CONCATENATE(MAIN!$B$33," ",MAIN!$D$33," X ",MAIN!$H$33)</f>
        <v xml:space="preserve"> SCH40 X 1</v>
      </c>
      <c r="E197" s="5" t="e" cm="1">
        <f t="array" ref="E197">_xlfn.IFS(MAIN!$G$4="sa36",[1]master!$AB$96,MAIN!G$4=304,[1]master!$BA$96,MAIN!$G$4=316,[1]master!$CA$94)</f>
        <v>#N/A</v>
      </c>
      <c r="F197" s="5" t="e" cm="1">
        <f t="array" ref="F197">C197*IF(MAIN!$B$33&gt;13,VLOOKUP(MAIN!$B$33,Nozzles!$A$11:$F$16,_xlfn.IFS(MAIN!$O$5=0.1875,2,MAIN!$O$5=0.25,3,MAIN!$O$5=0.3125,4,MAIN!$O$5=0.375,5,MAIN!$O$5=0.5,6),FALSE),VLOOKUP(MAIN!$B$33,Nozzles!$A$21:$G$31,_xlfn.IFS(AND(MAIN!$G$4="sa36",MAIN!$C$15="sch40"),2,AND(MAIN!$G$4="sa36",MAIN!$C$15="sch80"),3,AND(MAIN!$G$4=304,MAIN!$C$15="sch40"),4,AND(MAIN!$G$4=304,MAIN!$C$15="sch80"),5,AND(MAIN!$G$4=316,MAIN!$C$15="sch40"),6,AND(MAIN!$G$4=316,MAIN!$C$15="sch80"),7),FALSE))*MAIN!$H$33</f>
        <v>#N/A</v>
      </c>
      <c r="G197" s="6" t="str">
        <f>IF(MAIN!H33=1,"-",MAIN!A33*1)</f>
        <v>-</v>
      </c>
    </row>
    <row r="198" spans="1:7" ht="15.75" x14ac:dyDescent="0.5">
      <c r="A198">
        <v>194</v>
      </c>
      <c r="B198" s="32" t="s">
        <v>199</v>
      </c>
      <c r="C198" s="5">
        <f>IF(MAIN!$F$33="YES",MAIN!$A$33,)</f>
        <v>0</v>
      </c>
      <c r="D198" s="5" t="str">
        <f>CONCATENATE(MAIN!$B$33," ",MAIN!$E$33," BLIND")</f>
        <v xml:space="preserve"> 150# BLIND</v>
      </c>
      <c r="E198" s="5" t="e" cm="1">
        <f t="array" ref="E198">IF(MAIN!P140="API",MAIN!G114,_xlfn.IFS(MAIN!$G$4="sa36",[1]master!$AK$184,MAIN!G$4=304,[1]master!$BJ$185,MAIN!$G$4=316,[1]master!$CJ$184))</f>
        <v>#N/A</v>
      </c>
      <c r="F198" s="76" t="e" cm="1">
        <f t="array" ref="F198">C198*VLOOKUP(MAIN!B33,Nozzles!$K$31:$T$47,_xlfn.IFS(MAIN!$G$4="sa36",4,MAIN!$G$4=304,7,MAIN!$G$4=316,10),FALSE)</f>
        <v>#N/A</v>
      </c>
      <c r="G198" s="6" t="s">
        <v>232</v>
      </c>
    </row>
    <row r="199" spans="1:7" ht="15.75" x14ac:dyDescent="0.5">
      <c r="A199">
        <v>195</v>
      </c>
      <c r="B199" s="32" t="s">
        <v>200</v>
      </c>
      <c r="C199" s="5">
        <f>IF(MAIN!$G$33="YES",MAIN!$A$33,)</f>
        <v>0</v>
      </c>
      <c r="D199" s="5" t="str">
        <f>CONCATENATE("3/8 X ",MAIN!$B$33*2," DIA")</f>
        <v>3/8 X 0 DIA</v>
      </c>
      <c r="E199" s="5" t="e" cm="1">
        <f t="array" ref="E199">_xlfn.IFS(MAIN!$G$4="SA36","sa36",MAIN!$G$4=304,304,MAIN!$G$4=316,304)</f>
        <v>#N/A</v>
      </c>
      <c r="F199" s="38">
        <f>(MAIN!B33*2)*(MAIN!B33*2)*IF(MAIN!$G$4="sa36",15.32,16.5)/144*IF(MAIN!$G$4="sa36",[1]Plate!$C$34,[1]Plate!$I$7)*C199</f>
        <v>0</v>
      </c>
      <c r="G199" s="6" cm="1">
        <f t="array" ref="G199">_xlfn.IFS(MAIN!B33&lt;11,3,MAIN!B33&lt;19,4,MAIN!B33&lt;25,5,MAIN!B33&gt;25,6)*C199</f>
        <v>0</v>
      </c>
    </row>
    <row r="200" spans="1:7" ht="15.75" x14ac:dyDescent="0.5">
      <c r="A200">
        <v>196</v>
      </c>
      <c r="B200" s="32" t="s">
        <v>201</v>
      </c>
      <c r="C200" s="5" cm="1">
        <f t="array" ref="C200">IF(MAIN!$G$33="YES",_xlfn.IFS(MAIN!$B$33&lt;9,4,MAIN!$B$33&lt;15,6,MAIN!$B$33&lt;19,8,MAIN!$B$33&lt;31,10),)</f>
        <v>0</v>
      </c>
      <c r="D200" s="5" t="str">
        <f>CONCATENATE("3/8 X 12 X 24")</f>
        <v>3/8 X 12 X 24</v>
      </c>
      <c r="E200" s="5" t="e" cm="1">
        <f t="array" ref="E200">_xlfn.IFS(MAIN!$G$4="SA36","sa36",MAIN!$G$4=304,304,MAIN!$G$4=316,304)</f>
        <v>#N/A</v>
      </c>
      <c r="F200" s="38">
        <f>C200*12*24*IF(MAIN!$G$4="sa36",15.32,16.5)/144*IF(MAIN!$G$4="sa36",[1]Plate!$C$34,[1]Plate!$I$7)</f>
        <v>0</v>
      </c>
      <c r="G200" s="74">
        <f>G199</f>
        <v>0</v>
      </c>
    </row>
    <row r="201" spans="1:7" ht="15.75" x14ac:dyDescent="0.5">
      <c r="A201">
        <v>197</v>
      </c>
      <c r="B201" s="32" t="s">
        <v>355</v>
      </c>
      <c r="C201" s="5">
        <f>IF(MAIN!F33="YES",MAIN!A33,)</f>
        <v>0</v>
      </c>
      <c r="D201" s="5" t="str">
        <f>CONCATENATE(MAIN!$C$11,", ",MAIN!$C$12,", ",MAIN!$G$12)</f>
        <v>Garlock 3000, SA193-B7, SA193-2H</v>
      </c>
      <c r="E201" s="8"/>
      <c r="F201" s="5" cm="1">
        <f t="array" ref="F201">C201*_xlfn.IFS(MAIN!B33&lt;3.1,150,MAIN!B33&lt;6.1,200,MAIN!B33&lt;10.1,300,MAIN!B33&lt;16.1,500,MAIN!B33&lt;31,750)</f>
        <v>0</v>
      </c>
      <c r="G201" s="6">
        <f>C201*2</f>
        <v>0</v>
      </c>
    </row>
    <row r="202" spans="1:7" ht="15.75" x14ac:dyDescent="0.45">
      <c r="A202">
        <v>198</v>
      </c>
      <c r="B202" s="61" t="s">
        <v>371</v>
      </c>
      <c r="C202" s="83">
        <f>IF(MAIN!T3="YES",1,)</f>
        <v>0</v>
      </c>
      <c r="D202" s="83" t="str">
        <f>CONCATENATE(ROUNDUP(MAIN!D8/12,0)," ft ",IF(MAIN!D8&lt;240,"CAGED",)," LADDER")</f>
        <v>0 ft CAGED LADDER</v>
      </c>
      <c r="E202" s="86" t="str">
        <f>IF(MAIN!T5="PAINT","PCST","GCST")</f>
        <v>GCST</v>
      </c>
      <c r="F202" s="84">
        <f>IF(MAIN!D8&lt;240,ROUNDUP(MAIN!D8/12,0)*25,ROUNDUP(MAIN!D8/12,0)*20)*C202</f>
        <v>0</v>
      </c>
      <c r="G202" s="74">
        <f>IF(MAIN!D8&lt;240,(MAIN!D8/12*1)+(MAIN!D8/120)*4,(MAIN!D8/12*0.5)+(MAIN!D8/120)*4)</f>
        <v>0</v>
      </c>
    </row>
    <row r="203" spans="1:7" ht="15.75" x14ac:dyDescent="0.45">
      <c r="A203">
        <v>199</v>
      </c>
      <c r="B203" s="61" t="s">
        <v>401</v>
      </c>
      <c r="C203" s="83">
        <f>C204</f>
        <v>0</v>
      </c>
      <c r="D203" s="87" t="s">
        <v>405</v>
      </c>
      <c r="E203" s="77" t="str">
        <f>E202</f>
        <v>GCST</v>
      </c>
      <c r="F203" s="84">
        <f>300*C203</f>
        <v>0</v>
      </c>
      <c r="G203" s="74">
        <f>6*C203</f>
        <v>0</v>
      </c>
    </row>
    <row r="204" spans="1:7" ht="15.75" x14ac:dyDescent="0.45">
      <c r="A204">
        <v>200</v>
      </c>
      <c r="B204" s="32" t="s">
        <v>372</v>
      </c>
      <c r="C204" s="83">
        <f>IF(MAIN!T4="YES",1,)</f>
        <v>0</v>
      </c>
      <c r="D204" s="77" t="str">
        <f>CONCATENATE("1.5 SCH40 HANDRAIL W/TOEKICK ",ROUNDUP(MAIN!D7*3.1416/12,0)," FT")</f>
        <v>1.5 SCH40 HANDRAIL W/TOEKICK 0 FT</v>
      </c>
      <c r="E204" s="85" t="str">
        <f>E203</f>
        <v>GCST</v>
      </c>
      <c r="F204" s="84">
        <f>MAIN!D7*3.1416/12*18</f>
        <v>0</v>
      </c>
      <c r="G204" s="74">
        <f>(MAIN!D7/12)*(3.1416)*(0.75)+MAIN!D7/12</f>
        <v>0</v>
      </c>
    </row>
    <row r="205" spans="1:7" ht="15.75" x14ac:dyDescent="0.45">
      <c r="A205">
        <v>201</v>
      </c>
      <c r="B205" s="61" t="s">
        <v>373</v>
      </c>
      <c r="C205" s="77">
        <f>C204</f>
        <v>0</v>
      </c>
      <c r="D205" s="77"/>
      <c r="E205" s="77" t="str">
        <f>E204</f>
        <v>GCST</v>
      </c>
      <c r="F205" s="84">
        <f>C205*275</f>
        <v>0</v>
      </c>
      <c r="G205" s="74" t="s">
        <v>232</v>
      </c>
    </row>
    <row r="206" spans="1:7" ht="15.75" x14ac:dyDescent="0.45">
      <c r="A206">
        <v>202</v>
      </c>
      <c r="B206" s="61" t="s">
        <v>374</v>
      </c>
      <c r="C206" s="77">
        <f>IF(AND(MAIN!T3="yes",MAIN!D8&gt;239),1,)</f>
        <v>0</v>
      </c>
      <c r="D206" s="77" t="str" cm="1">
        <f t="array" ref="D206">_xlfn.IFS(MAIN!D8&lt;360,"CABLE LIFELINE SYSTEM (GRAINGER) 30 FT",MAIN!D8&lt;480,"CABLE LIFELINE SYSTEM (GRAINGER) 40 FT",MAIN!D8&lt;600,"CABLE LIFELINE SYSTEM (GRAINGER) 50 FT")</f>
        <v>CABLE LIFELINE SYSTEM (GRAINGER) 30 FT</v>
      </c>
      <c r="E206" s="77" t="str" cm="1">
        <f t="array" ref="E206">_xlfn.IFS(MAIN!D8&lt;360,"487R49",MAIN!D8&lt;480,"487R50",MAIN!D8&lt;600,"487R51")</f>
        <v>487R49</v>
      </c>
      <c r="F206" s="84" cm="1">
        <f t="array" ref="F206">_xlfn.IFS(MAIN!D8&lt;360,800,MAIN!D8&lt;480,900,MAIN!D8&lt;600,1000)*C206</f>
        <v>0</v>
      </c>
      <c r="G206" s="74" t="s">
        <v>232</v>
      </c>
    </row>
    <row r="207" spans="1:7" x14ac:dyDescent="0.45">
      <c r="A207">
        <v>203</v>
      </c>
      <c r="B207" s="61"/>
      <c r="C207" s="15"/>
      <c r="D207" s="16"/>
      <c r="E207" s="8"/>
      <c r="F207" s="78"/>
      <c r="G207" s="10"/>
    </row>
    <row r="208" spans="1:7" x14ac:dyDescent="0.45">
      <c r="A208">
        <v>204</v>
      </c>
      <c r="B208" s="61"/>
      <c r="C208" s="15"/>
      <c r="D208" s="16"/>
      <c r="E208" s="8"/>
      <c r="F208" s="78"/>
      <c r="G208" s="10"/>
    </row>
    <row r="209" spans="1:7" x14ac:dyDescent="0.45">
      <c r="A209">
        <v>205</v>
      </c>
      <c r="B209" s="61"/>
      <c r="C209" s="15"/>
      <c r="D209" s="16"/>
      <c r="E209" s="8"/>
      <c r="F209" s="78"/>
      <c r="G209" s="10"/>
    </row>
    <row r="210" spans="1:7" x14ac:dyDescent="0.45">
      <c r="A210">
        <v>206</v>
      </c>
      <c r="B210" s="61"/>
      <c r="C210" s="8"/>
      <c r="D210" s="9"/>
      <c r="E210" s="8"/>
      <c r="F210" s="24"/>
      <c r="G210" s="12"/>
    </row>
    <row r="211" spans="1:7" x14ac:dyDescent="0.45">
      <c r="A211">
        <v>207</v>
      </c>
      <c r="B211" s="61"/>
      <c r="C211" s="15"/>
      <c r="D211" s="16"/>
      <c r="E211" s="8"/>
      <c r="F211" s="24"/>
      <c r="G211" s="12"/>
    </row>
    <row r="212" spans="1:7" x14ac:dyDescent="0.45">
      <c r="A212">
        <v>208</v>
      </c>
      <c r="B212" s="61"/>
      <c r="C212" s="8"/>
      <c r="D212" s="9"/>
      <c r="E212" s="8"/>
      <c r="F212" s="24"/>
      <c r="G212" s="12"/>
    </row>
    <row r="213" spans="1:7" x14ac:dyDescent="0.45">
      <c r="A213">
        <v>209</v>
      </c>
      <c r="B213" s="61"/>
      <c r="C213" s="15"/>
      <c r="D213" s="16"/>
      <c r="E213" s="8"/>
      <c r="F213" s="24"/>
      <c r="G213" s="12"/>
    </row>
    <row r="214" spans="1:7" x14ac:dyDescent="0.45">
      <c r="A214">
        <v>210</v>
      </c>
      <c r="B214" s="61"/>
      <c r="C214" s="8"/>
      <c r="D214" s="9"/>
      <c r="E214" s="19"/>
      <c r="F214" s="24"/>
      <c r="G214" s="12"/>
    </row>
    <row r="215" spans="1:7" x14ac:dyDescent="0.45">
      <c r="A215">
        <v>211</v>
      </c>
      <c r="B215" s="62"/>
      <c r="C215" s="15"/>
      <c r="D215" s="16"/>
      <c r="E215" s="8"/>
      <c r="F215" s="79"/>
      <c r="G215" s="12"/>
    </row>
    <row r="216" spans="1:7" x14ac:dyDescent="0.45">
      <c r="A216">
        <v>212</v>
      </c>
      <c r="B216" s="7"/>
      <c r="C216" s="8"/>
      <c r="D216" s="9"/>
      <c r="E216" s="8"/>
      <c r="F216" s="79"/>
      <c r="G216" s="12"/>
    </row>
    <row r="217" spans="1:7" x14ac:dyDescent="0.45">
      <c r="A217">
        <v>213</v>
      </c>
      <c r="B217" s="17"/>
      <c r="C217" s="8"/>
      <c r="D217" s="18"/>
      <c r="E217" s="19"/>
      <c r="F217" s="79"/>
      <c r="G217" s="13"/>
    </row>
    <row r="218" spans="1:7" x14ac:dyDescent="0.45">
      <c r="A218">
        <v>214</v>
      </c>
      <c r="B218" s="14"/>
      <c r="C218" s="15"/>
      <c r="D218" s="16"/>
      <c r="E218" s="8"/>
      <c r="F218" s="79"/>
      <c r="G218" s="13"/>
    </row>
    <row r="219" spans="1:7" x14ac:dyDescent="0.45">
      <c r="A219">
        <v>215</v>
      </c>
      <c r="B219" s="14"/>
      <c r="C219" s="15"/>
      <c r="D219" s="16"/>
      <c r="E219" s="8"/>
      <c r="F219" s="79"/>
      <c r="G219" s="13"/>
    </row>
    <row r="220" spans="1:7" x14ac:dyDescent="0.45">
      <c r="A220">
        <v>216</v>
      </c>
      <c r="B220" s="14"/>
      <c r="C220" s="15"/>
      <c r="D220" s="16"/>
      <c r="E220" s="8"/>
      <c r="F220" s="79"/>
      <c r="G220" s="13"/>
    </row>
    <row r="221" spans="1:7" x14ac:dyDescent="0.45">
      <c r="A221">
        <v>217</v>
      </c>
      <c r="B221" s="14"/>
      <c r="C221" s="15"/>
      <c r="D221" s="16"/>
      <c r="E221" s="8"/>
      <c r="F221" s="79"/>
      <c r="G221" s="13"/>
    </row>
    <row r="222" spans="1:7" x14ac:dyDescent="0.45">
      <c r="A222">
        <v>218</v>
      </c>
      <c r="B222" s="14"/>
      <c r="C222" s="15"/>
      <c r="D222" s="16"/>
      <c r="E222" s="8"/>
      <c r="F222" s="79"/>
      <c r="G222" s="13"/>
    </row>
    <row r="223" spans="1:7" x14ac:dyDescent="0.45">
      <c r="A223">
        <v>219</v>
      </c>
      <c r="B223" s="14"/>
      <c r="C223" s="15"/>
      <c r="D223" s="16"/>
      <c r="E223" s="8"/>
      <c r="F223" s="79"/>
      <c r="G223" s="13"/>
    </row>
    <row r="224" spans="1:7" x14ac:dyDescent="0.45">
      <c r="A224">
        <v>220</v>
      </c>
      <c r="B224" s="14"/>
      <c r="C224" s="15"/>
      <c r="D224" s="16"/>
      <c r="E224" s="8"/>
      <c r="F224" s="79"/>
      <c r="G224" s="13"/>
    </row>
    <row r="225" spans="1:7" x14ac:dyDescent="0.45">
      <c r="A225">
        <v>221</v>
      </c>
      <c r="B225" s="14"/>
      <c r="C225" s="15"/>
      <c r="D225" s="16"/>
      <c r="E225" s="8"/>
      <c r="F225" s="79"/>
      <c r="G225" s="13"/>
    </row>
    <row r="226" spans="1:7" x14ac:dyDescent="0.45">
      <c r="A226">
        <v>222</v>
      </c>
      <c r="B226" s="14"/>
      <c r="C226" s="15"/>
      <c r="D226" s="16"/>
      <c r="E226" s="8"/>
      <c r="F226" s="79"/>
      <c r="G226" s="13"/>
    </row>
    <row r="227" spans="1:7" x14ac:dyDescent="0.45">
      <c r="A227">
        <v>223</v>
      </c>
      <c r="B227" s="14"/>
      <c r="C227" s="15"/>
      <c r="D227" s="16"/>
      <c r="E227" s="8"/>
      <c r="F227" s="79"/>
      <c r="G227" s="13"/>
    </row>
    <row r="228" spans="1:7" x14ac:dyDescent="0.45">
      <c r="A228">
        <v>224</v>
      </c>
      <c r="B228" s="14"/>
      <c r="C228" s="15"/>
      <c r="D228" s="16"/>
      <c r="E228" s="8"/>
      <c r="F228" s="79"/>
      <c r="G228" s="13"/>
    </row>
    <row r="229" spans="1:7" x14ac:dyDescent="0.45">
      <c r="A229">
        <v>225</v>
      </c>
      <c r="B229" s="14"/>
      <c r="C229" s="15"/>
      <c r="D229" s="16"/>
      <c r="E229" s="8"/>
      <c r="F229" s="79"/>
      <c r="G229" s="13"/>
    </row>
    <row r="230" spans="1:7" x14ac:dyDescent="0.45">
      <c r="A230">
        <v>226</v>
      </c>
      <c r="B230" s="14"/>
      <c r="C230" s="15"/>
      <c r="D230" s="16"/>
      <c r="E230" s="8"/>
      <c r="F230" s="79"/>
      <c r="G230" s="13"/>
    </row>
    <row r="231" spans="1:7" x14ac:dyDescent="0.45">
      <c r="A231">
        <v>227</v>
      </c>
      <c r="B231" s="14"/>
      <c r="C231" s="15"/>
      <c r="D231" s="16"/>
      <c r="E231" s="8"/>
      <c r="F231" s="79"/>
      <c r="G231" s="13"/>
    </row>
    <row r="232" spans="1:7" x14ac:dyDescent="0.45">
      <c r="A232">
        <v>228</v>
      </c>
      <c r="B232" s="14"/>
      <c r="C232" s="15"/>
      <c r="D232" s="16"/>
      <c r="E232" s="8"/>
      <c r="F232" s="79"/>
      <c r="G232" s="13"/>
    </row>
    <row r="233" spans="1:7" x14ac:dyDescent="0.45">
      <c r="A233">
        <v>229</v>
      </c>
      <c r="B233" s="14"/>
      <c r="C233" s="15"/>
      <c r="D233" s="16"/>
      <c r="E233" s="8"/>
      <c r="F233" s="79"/>
      <c r="G233" s="13"/>
    </row>
    <row r="234" spans="1:7" x14ac:dyDescent="0.45">
      <c r="A234">
        <v>230</v>
      </c>
      <c r="B234" s="14"/>
      <c r="C234" s="15"/>
      <c r="D234" s="16"/>
      <c r="E234" s="8"/>
      <c r="F234" s="79"/>
      <c r="G234" s="13"/>
    </row>
    <row r="235" spans="1:7" x14ac:dyDescent="0.45">
      <c r="A235">
        <v>231</v>
      </c>
      <c r="B235" s="14"/>
      <c r="C235" s="15"/>
      <c r="D235" s="16"/>
      <c r="E235" s="8"/>
      <c r="F235" s="79"/>
      <c r="G235" s="13"/>
    </row>
    <row r="236" spans="1:7" x14ac:dyDescent="0.45">
      <c r="A236">
        <v>232</v>
      </c>
      <c r="B236" s="14"/>
      <c r="C236" s="15"/>
      <c r="D236" s="16"/>
      <c r="E236" s="8"/>
      <c r="F236" s="79"/>
      <c r="G236" s="13"/>
    </row>
    <row r="237" spans="1:7" x14ac:dyDescent="0.45">
      <c r="A237">
        <v>233</v>
      </c>
      <c r="B237" s="14"/>
      <c r="C237" s="15"/>
      <c r="D237" s="16"/>
      <c r="E237" s="8"/>
      <c r="F237" s="79"/>
      <c r="G237" s="13"/>
    </row>
    <row r="238" spans="1:7" x14ac:dyDescent="0.45">
      <c r="A238">
        <v>234</v>
      </c>
      <c r="B238" s="14"/>
      <c r="C238" s="15"/>
      <c r="D238" s="16"/>
      <c r="E238" s="8"/>
      <c r="F238" s="79"/>
      <c r="G238" s="13"/>
    </row>
    <row r="239" spans="1:7" x14ac:dyDescent="0.45">
      <c r="A239">
        <v>235</v>
      </c>
      <c r="B239" s="7"/>
      <c r="C239" s="8"/>
      <c r="D239" s="9"/>
      <c r="E239" s="8"/>
      <c r="F239" s="79"/>
      <c r="G239" s="13"/>
    </row>
    <row r="240" spans="1:7" x14ac:dyDescent="0.45">
      <c r="B240" s="7"/>
      <c r="C240" s="8"/>
      <c r="D240" s="11"/>
      <c r="E240" s="8"/>
      <c r="F240" s="24"/>
      <c r="G240" s="10"/>
    </row>
    <row r="241" spans="2:7" x14ac:dyDescent="0.45">
      <c r="B241" s="7"/>
      <c r="C241" s="8"/>
      <c r="D241" s="11"/>
      <c r="E241" s="19"/>
      <c r="F241" s="24"/>
      <c r="G241" s="10"/>
    </row>
    <row r="242" spans="2:7" x14ac:dyDescent="0.45">
      <c r="B242" s="7"/>
      <c r="C242" s="8"/>
      <c r="D242" s="20"/>
      <c r="E242" s="8"/>
      <c r="F242" s="24"/>
      <c r="G242" s="10"/>
    </row>
    <row r="243" spans="2:7" x14ac:dyDescent="0.45">
      <c r="B243" s="7"/>
      <c r="C243" s="19"/>
      <c r="D243" s="11"/>
      <c r="E243" s="19"/>
      <c r="F243" s="24"/>
      <c r="G243" s="12"/>
    </row>
    <row r="244" spans="2:7" x14ac:dyDescent="0.45">
      <c r="B244" s="14"/>
      <c r="C244" s="19"/>
      <c r="D244" s="11"/>
      <c r="E244" s="19"/>
      <c r="F244" s="24"/>
      <c r="G244" s="12"/>
    </row>
    <row r="245" spans="2:7" x14ac:dyDescent="0.45">
      <c r="B245" s="14"/>
      <c r="C245" s="15"/>
      <c r="D245" s="16"/>
      <c r="E245" s="8"/>
      <c r="F245" s="24"/>
      <c r="G245" s="12"/>
    </row>
    <row r="246" spans="2:7" x14ac:dyDescent="0.45">
      <c r="B246" s="7"/>
      <c r="C246" s="8"/>
      <c r="D246" s="9"/>
      <c r="E246" s="19"/>
      <c r="F246" s="24"/>
      <c r="G246" s="12"/>
    </row>
    <row r="247" spans="2:7" x14ac:dyDescent="0.45">
      <c r="B247" s="7"/>
      <c r="C247" s="8"/>
      <c r="D247" s="11"/>
      <c r="E247" s="8"/>
      <c r="F247" s="24"/>
      <c r="G247" s="12"/>
    </row>
    <row r="248" spans="2:7" x14ac:dyDescent="0.45">
      <c r="B248" s="7"/>
      <c r="C248" s="8"/>
      <c r="D248" s="11"/>
      <c r="E248" s="19"/>
      <c r="F248" s="24"/>
      <c r="G248" s="12"/>
    </row>
    <row r="249" spans="2:7" x14ac:dyDescent="0.45">
      <c r="B249" s="7"/>
      <c r="C249" s="8"/>
      <c r="D249" s="11"/>
      <c r="E249" s="8"/>
      <c r="F249" s="24"/>
      <c r="G249" s="12"/>
    </row>
    <row r="250" spans="2:7" x14ac:dyDescent="0.45">
      <c r="B250" s="7"/>
      <c r="C250" s="8"/>
      <c r="D250" s="11"/>
      <c r="E250" s="19"/>
      <c r="F250" s="24"/>
      <c r="G250" s="12"/>
    </row>
    <row r="251" spans="2:7" x14ac:dyDescent="0.45">
      <c r="B251" s="14"/>
      <c r="C251" s="15"/>
      <c r="D251" s="16"/>
      <c r="E251" s="8"/>
      <c r="F251" s="24"/>
      <c r="G251" s="12"/>
    </row>
    <row r="252" spans="2:7" x14ac:dyDescent="0.45">
      <c r="B252" s="14"/>
      <c r="C252" s="15"/>
      <c r="D252" s="16"/>
      <c r="E252" s="8"/>
      <c r="F252" s="79"/>
      <c r="G252" s="10"/>
    </row>
    <row r="253" spans="2:7" x14ac:dyDescent="0.45">
      <c r="B253" s="7"/>
      <c r="C253" s="8"/>
      <c r="D253" s="21" t="s">
        <v>17</v>
      </c>
      <c r="E253" s="8"/>
      <c r="F253" s="24"/>
      <c r="G253" s="12"/>
    </row>
    <row r="254" spans="2:7" x14ac:dyDescent="0.45">
      <c r="B254" s="14"/>
      <c r="C254" s="15"/>
      <c r="D254" s="21" t="s">
        <v>18</v>
      </c>
      <c r="E254" s="8"/>
      <c r="F254" s="24"/>
      <c r="G254" s="12"/>
    </row>
    <row r="255" spans="2:7" x14ac:dyDescent="0.45">
      <c r="B255" s="7"/>
      <c r="C255" s="8"/>
      <c r="D255" s="21" t="s">
        <v>19</v>
      </c>
      <c r="E255" s="8"/>
      <c r="F255" s="24"/>
      <c r="G255" s="12"/>
    </row>
    <row r="256" spans="2:7" x14ac:dyDescent="0.45">
      <c r="B256" s="7"/>
      <c r="C256" s="8"/>
      <c r="D256" s="21" t="s">
        <v>20</v>
      </c>
      <c r="E256" s="8"/>
      <c r="F256" s="8"/>
      <c r="G256" s="12"/>
    </row>
    <row r="257" spans="2:7" x14ac:dyDescent="0.45">
      <c r="B257" s="7"/>
      <c r="C257" s="8"/>
      <c r="D257" s="21" t="s">
        <v>21</v>
      </c>
      <c r="E257" s="8"/>
      <c r="F257" s="8"/>
      <c r="G257" s="12"/>
    </row>
    <row r="258" spans="2:7" x14ac:dyDescent="0.45">
      <c r="B258" s="7"/>
      <c r="C258" s="8"/>
      <c r="D258" s="21" t="s">
        <v>22</v>
      </c>
      <c r="E258" s="8"/>
      <c r="F258" s="8"/>
      <c r="G258" s="12"/>
    </row>
    <row r="259" spans="2:7" x14ac:dyDescent="0.45">
      <c r="B259" s="7"/>
      <c r="C259" s="8"/>
      <c r="D259" s="21" t="s">
        <v>23</v>
      </c>
      <c r="E259" s="8"/>
      <c r="F259" s="8"/>
      <c r="G259" s="10" cm="1">
        <f t="array" ref="G259">SUM(IFERROR(G5:G258,0))</f>
        <v>0</v>
      </c>
    </row>
    <row r="260" spans="2:7" x14ac:dyDescent="0.45">
      <c r="B260" s="7"/>
      <c r="C260" s="8"/>
      <c r="D260" s="21" t="s">
        <v>24</v>
      </c>
      <c r="E260" s="8"/>
      <c r="F260" s="8"/>
      <c r="G260" s="10">
        <f>G259*1.05</f>
        <v>0</v>
      </c>
    </row>
    <row r="261" spans="2:7" x14ac:dyDescent="0.45">
      <c r="B261" s="7"/>
      <c r="C261" s="8"/>
      <c r="D261" s="22"/>
      <c r="E261" s="22" t="s">
        <v>25</v>
      </c>
      <c r="F261" s="78" cm="1">
        <f t="array" ref="F261">SUM(IFERROR(F5:F260,))</f>
        <v>0</v>
      </c>
      <c r="G261" s="10"/>
    </row>
    <row r="262" spans="2:7" x14ac:dyDescent="0.45">
      <c r="B262" s="7"/>
      <c r="C262" s="8"/>
      <c r="D262" s="23"/>
      <c r="E262" s="23" t="s">
        <v>26</v>
      </c>
      <c r="F262" s="78">
        <f>F261/0.9</f>
        <v>0</v>
      </c>
      <c r="G262" s="10"/>
    </row>
    <row r="263" spans="2:7" x14ac:dyDescent="0.45">
      <c r="B263" s="7"/>
      <c r="C263" s="8"/>
      <c r="D263" s="21" t="s">
        <v>27</v>
      </c>
      <c r="E263" s="24">
        <f>G260</f>
        <v>0</v>
      </c>
      <c r="F263" s="78">
        <f>E263*80</f>
        <v>0</v>
      </c>
      <c r="G263" s="25"/>
    </row>
    <row r="264" spans="2:7" x14ac:dyDescent="0.45">
      <c r="B264" s="7"/>
      <c r="C264" s="8"/>
      <c r="D264" s="18"/>
      <c r="E264" s="21" t="s">
        <v>28</v>
      </c>
      <c r="F264" s="78">
        <f>F263/0.8</f>
        <v>0</v>
      </c>
      <c r="G264" s="25"/>
    </row>
    <row r="265" spans="2:7" x14ac:dyDescent="0.45">
      <c r="B265" s="7"/>
      <c r="C265" s="8"/>
      <c r="D265" s="18"/>
      <c r="E265" s="21" t="s">
        <v>29</v>
      </c>
      <c r="F265" s="78">
        <f>F262+F264</f>
        <v>0</v>
      </c>
      <c r="G265" s="25"/>
    </row>
    <row r="266" spans="2:7" x14ac:dyDescent="0.45">
      <c r="B266" s="7"/>
      <c r="C266" s="8"/>
      <c r="D266" s="18"/>
      <c r="E266" s="26" t="s">
        <v>30</v>
      </c>
      <c r="F266" s="78">
        <f>(F261+F263)*0.0333</f>
        <v>0</v>
      </c>
      <c r="G266" s="25"/>
    </row>
    <row r="267" spans="2:7" x14ac:dyDescent="0.45">
      <c r="B267" s="7" t="s">
        <v>31</v>
      </c>
      <c r="C267" s="184"/>
      <c r="D267" s="185"/>
      <c r="E267" s="26" t="s">
        <v>32</v>
      </c>
      <c r="F267" s="78">
        <f>F265+F266</f>
        <v>0</v>
      </c>
      <c r="G267" s="25"/>
    </row>
    <row r="268" spans="2:7" x14ac:dyDescent="0.45">
      <c r="B268" s="27"/>
      <c r="C268" s="176"/>
      <c r="D268" s="177"/>
      <c r="E268" s="28"/>
      <c r="F268" s="80"/>
      <c r="G268" s="29"/>
    </row>
    <row r="269" spans="2:7" x14ac:dyDescent="0.45">
      <c r="B269" s="7" t="s">
        <v>33</v>
      </c>
      <c r="C269" s="178">
        <f>C267-F261</f>
        <v>0</v>
      </c>
      <c r="D269" s="179"/>
      <c r="E269" s="26"/>
      <c r="F269" s="78"/>
      <c r="G269" s="25"/>
    </row>
    <row r="270" spans="2:7" x14ac:dyDescent="0.45">
      <c r="B270" s="7" t="s">
        <v>34</v>
      </c>
      <c r="C270" s="180" t="e">
        <f>C269/G260</f>
        <v>#DIV/0!</v>
      </c>
      <c r="D270" s="181"/>
      <c r="E270" s="26"/>
      <c r="F270" s="81"/>
      <c r="G270" s="25"/>
    </row>
    <row r="271" spans="2:7" x14ac:dyDescent="0.45">
      <c r="B271" s="7" t="s">
        <v>35</v>
      </c>
      <c r="C271" s="178">
        <f>C267-F261-F263-F266</f>
        <v>0</v>
      </c>
      <c r="D271" s="179"/>
      <c r="E271" s="26"/>
      <c r="F271" s="78"/>
      <c r="G271" s="25"/>
    </row>
    <row r="272" spans="2:7" x14ac:dyDescent="0.45">
      <c r="B272" s="7" t="s">
        <v>36</v>
      </c>
      <c r="C272" s="182" t="e">
        <f>C271/C267</f>
        <v>#DIV/0!</v>
      </c>
      <c r="D272" s="183"/>
      <c r="E272" s="26"/>
      <c r="F272" s="82"/>
      <c r="G272" s="25"/>
    </row>
    <row r="273" spans="2:7" x14ac:dyDescent="0.45">
      <c r="B273" s="170" t="s">
        <v>37</v>
      </c>
      <c r="C273" s="171"/>
      <c r="D273" s="171"/>
      <c r="E273" s="171"/>
      <c r="F273" s="171"/>
      <c r="G273" s="172"/>
    </row>
    <row r="274" spans="2:7" x14ac:dyDescent="0.45">
      <c r="B274" s="170"/>
      <c r="C274" s="171"/>
      <c r="D274" s="171"/>
      <c r="E274" s="171"/>
      <c r="F274" s="171"/>
      <c r="G274" s="172"/>
    </row>
    <row r="275" spans="2:7" ht="14.65" thickBot="1" x14ac:dyDescent="0.5">
      <c r="B275" s="173"/>
      <c r="C275" s="174"/>
      <c r="D275" s="174"/>
      <c r="E275" s="174"/>
      <c r="F275" s="174"/>
      <c r="G275" s="175"/>
    </row>
  </sheetData>
  <autoFilter ref="A4:G206" xr:uid="{6F092345-DAC9-4AFF-BFAE-D13FC8F1A4A3}">
    <sortState xmlns:xlrd2="http://schemas.microsoft.com/office/spreadsheetml/2017/richdata2" ref="A5:G206">
      <sortCondition ref="A4:A206"/>
    </sortState>
  </autoFilter>
  <mergeCells count="14">
    <mergeCell ref="C267:D267"/>
    <mergeCell ref="B1:G1"/>
    <mergeCell ref="C2:D2"/>
    <mergeCell ref="F2:G2"/>
    <mergeCell ref="C3:D3"/>
    <mergeCell ref="F3:G3"/>
    <mergeCell ref="B274:G274"/>
    <mergeCell ref="B275:G275"/>
    <mergeCell ref="C268:D268"/>
    <mergeCell ref="C269:D269"/>
    <mergeCell ref="C270:D270"/>
    <mergeCell ref="C271:D271"/>
    <mergeCell ref="C272:D272"/>
    <mergeCell ref="B273:G273"/>
  </mergeCells>
  <phoneticPr fontId="8" type="noConversion"/>
  <conditionalFormatting sqref="C270:D270">
    <cfRule type="cellIs" dxfId="3" priority="3" operator="lessThan">
      <formula>120</formula>
    </cfRule>
    <cfRule type="cellIs" dxfId="2" priority="4" operator="greaterThan">
      <formula>119</formula>
    </cfRule>
  </conditionalFormatting>
  <conditionalFormatting sqref="C272:D272">
    <cfRule type="cellIs" dxfId="1" priority="1" operator="lessThan">
      <formula>0.17</formula>
    </cfRule>
    <cfRule type="cellIs" dxfId="0" priority="2" operator="greaterThan">
      <formula>0.1699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E157-8AB4-44C5-926D-080BACD40937}">
  <sheetPr codeName="Sheet3"/>
  <dimension ref="B2:T206"/>
  <sheetViews>
    <sheetView topLeftCell="A174" workbookViewId="0">
      <selection activeCell="B2" sqref="B2:T206"/>
    </sheetView>
  </sheetViews>
  <sheetFormatPr defaultRowHeight="14.25" x14ac:dyDescent="0.45"/>
  <cols>
    <col min="2" max="2" width="9.1328125" style="37"/>
    <col min="4" max="4" width="11.86328125" bestFit="1" customWidth="1"/>
    <col min="6" max="6" width="11.86328125" bestFit="1" customWidth="1"/>
    <col min="8" max="8" width="10.59765625" bestFit="1" customWidth="1"/>
    <col min="9" max="9" width="11.86328125" bestFit="1" customWidth="1"/>
    <col min="10" max="10" width="13.1328125" bestFit="1" customWidth="1"/>
    <col min="11" max="11" width="11.59765625" bestFit="1" customWidth="1"/>
  </cols>
  <sheetData>
    <row r="2" spans="2:20" x14ac:dyDescent="0.45">
      <c r="C2" t="s">
        <v>205</v>
      </c>
      <c r="D2" t="s">
        <v>206</v>
      </c>
      <c r="E2" t="s">
        <v>207</v>
      </c>
      <c r="F2" t="s">
        <v>208</v>
      </c>
      <c r="H2" t="s">
        <v>228</v>
      </c>
      <c r="I2" t="s">
        <v>229</v>
      </c>
      <c r="J2" t="s">
        <v>230</v>
      </c>
      <c r="K2" t="s">
        <v>231</v>
      </c>
      <c r="M2" t="s">
        <v>261</v>
      </c>
      <c r="N2" t="s">
        <v>262</v>
      </c>
      <c r="O2" t="s">
        <v>263</v>
      </c>
      <c r="P2" t="s">
        <v>264</v>
      </c>
      <c r="Q2" t="s">
        <v>265</v>
      </c>
      <c r="R2" t="s">
        <v>266</v>
      </c>
      <c r="S2" t="s">
        <v>267</v>
      </c>
      <c r="T2" t="s">
        <v>268</v>
      </c>
    </row>
    <row r="3" spans="2:20" x14ac:dyDescent="0.45">
      <c r="B3" s="37">
        <v>1</v>
      </c>
      <c r="C3" t="s">
        <v>247</v>
      </c>
      <c r="D3" t="s">
        <v>209</v>
      </c>
      <c r="E3" t="s">
        <v>247</v>
      </c>
      <c r="F3" t="s">
        <v>209</v>
      </c>
      <c r="H3">
        <v>3</v>
      </c>
      <c r="I3">
        <v>5</v>
      </c>
      <c r="J3">
        <v>3</v>
      </c>
      <c r="K3">
        <v>4</v>
      </c>
      <c r="M3">
        <v>60</v>
      </c>
      <c r="N3">
        <v>96</v>
      </c>
      <c r="Q3">
        <v>60</v>
      </c>
      <c r="R3">
        <v>96</v>
      </c>
    </row>
    <row r="4" spans="2:20" x14ac:dyDescent="0.45">
      <c r="B4" s="37">
        <v>2</v>
      </c>
      <c r="C4" t="s">
        <v>247</v>
      </c>
      <c r="D4" t="s">
        <v>209</v>
      </c>
      <c r="E4" t="s">
        <v>247</v>
      </c>
      <c r="F4" t="s">
        <v>209</v>
      </c>
      <c r="H4">
        <v>3</v>
      </c>
      <c r="I4">
        <v>5</v>
      </c>
      <c r="J4">
        <v>3</v>
      </c>
      <c r="K4">
        <v>4</v>
      </c>
      <c r="M4">
        <v>60</v>
      </c>
      <c r="N4">
        <v>96</v>
      </c>
      <c r="Q4">
        <v>60</v>
      </c>
      <c r="R4">
        <v>96</v>
      </c>
    </row>
    <row r="5" spans="2:20" x14ac:dyDescent="0.45">
      <c r="B5" s="37">
        <v>3</v>
      </c>
      <c r="C5" t="s">
        <v>247</v>
      </c>
      <c r="D5" t="s">
        <v>209</v>
      </c>
      <c r="E5" t="s">
        <v>247</v>
      </c>
      <c r="F5" t="s">
        <v>209</v>
      </c>
      <c r="H5">
        <v>3</v>
      </c>
      <c r="I5">
        <v>5</v>
      </c>
      <c r="J5">
        <v>3</v>
      </c>
      <c r="K5">
        <v>4</v>
      </c>
      <c r="M5">
        <v>60</v>
      </c>
      <c r="N5">
        <v>96</v>
      </c>
      <c r="Q5">
        <v>60</v>
      </c>
      <c r="R5">
        <v>96</v>
      </c>
    </row>
    <row r="6" spans="2:20" x14ac:dyDescent="0.45">
      <c r="B6" s="37">
        <v>4</v>
      </c>
      <c r="C6" t="s">
        <v>247</v>
      </c>
      <c r="D6" t="s">
        <v>209</v>
      </c>
      <c r="E6" t="s">
        <v>247</v>
      </c>
      <c r="F6" t="s">
        <v>209</v>
      </c>
      <c r="H6">
        <v>3</v>
      </c>
      <c r="I6">
        <v>5</v>
      </c>
      <c r="J6">
        <v>3</v>
      </c>
      <c r="K6">
        <v>4</v>
      </c>
      <c r="M6">
        <v>60</v>
      </c>
      <c r="N6">
        <v>96</v>
      </c>
      <c r="Q6">
        <v>60</v>
      </c>
      <c r="R6">
        <v>96</v>
      </c>
    </row>
    <row r="7" spans="2:20" x14ac:dyDescent="0.45">
      <c r="B7" s="37">
        <v>5</v>
      </c>
      <c r="C7" t="s">
        <v>247</v>
      </c>
      <c r="D7" t="s">
        <v>209</v>
      </c>
      <c r="E7" t="s">
        <v>247</v>
      </c>
      <c r="F7" t="s">
        <v>209</v>
      </c>
      <c r="H7">
        <v>3</v>
      </c>
      <c r="I7">
        <v>5</v>
      </c>
      <c r="J7">
        <v>3</v>
      </c>
      <c r="K7">
        <v>4</v>
      </c>
      <c r="M7">
        <v>60</v>
      </c>
      <c r="N7">
        <v>96</v>
      </c>
      <c r="Q7">
        <v>60</v>
      </c>
      <c r="R7">
        <v>96</v>
      </c>
    </row>
    <row r="8" spans="2:20" x14ac:dyDescent="0.45">
      <c r="B8" s="37">
        <v>6</v>
      </c>
      <c r="C8" t="s">
        <v>247</v>
      </c>
      <c r="D8" t="s">
        <v>209</v>
      </c>
      <c r="E8" t="s">
        <v>247</v>
      </c>
      <c r="F8" t="s">
        <v>209</v>
      </c>
      <c r="H8">
        <v>3</v>
      </c>
      <c r="I8">
        <v>5</v>
      </c>
      <c r="J8">
        <v>3</v>
      </c>
      <c r="K8">
        <v>4</v>
      </c>
      <c r="M8">
        <v>60</v>
      </c>
      <c r="N8">
        <v>96</v>
      </c>
      <c r="Q8">
        <v>60</v>
      </c>
      <c r="R8">
        <v>96</v>
      </c>
    </row>
    <row r="9" spans="2:20" x14ac:dyDescent="0.45">
      <c r="B9" s="37">
        <v>7</v>
      </c>
      <c r="C9" t="s">
        <v>247</v>
      </c>
      <c r="D9" t="s">
        <v>209</v>
      </c>
      <c r="E9" t="s">
        <v>247</v>
      </c>
      <c r="F9" t="s">
        <v>209</v>
      </c>
      <c r="H9">
        <v>3</v>
      </c>
      <c r="I9">
        <v>5</v>
      </c>
      <c r="J9">
        <v>3</v>
      </c>
      <c r="K9">
        <v>4</v>
      </c>
      <c r="M9">
        <v>60</v>
      </c>
      <c r="N9">
        <v>96</v>
      </c>
      <c r="Q9">
        <v>60</v>
      </c>
      <c r="R9">
        <v>96</v>
      </c>
    </row>
    <row r="10" spans="2:20" x14ac:dyDescent="0.45">
      <c r="B10" s="37">
        <v>8</v>
      </c>
      <c r="C10" t="s">
        <v>247</v>
      </c>
      <c r="D10" t="s">
        <v>209</v>
      </c>
      <c r="E10" t="s">
        <v>247</v>
      </c>
      <c r="F10" t="s">
        <v>209</v>
      </c>
      <c r="H10">
        <v>3</v>
      </c>
      <c r="I10">
        <v>5</v>
      </c>
      <c r="J10">
        <v>3</v>
      </c>
      <c r="K10">
        <v>4</v>
      </c>
      <c r="M10">
        <v>60</v>
      </c>
      <c r="N10">
        <v>96</v>
      </c>
      <c r="Q10">
        <v>60</v>
      </c>
      <c r="R10">
        <v>96</v>
      </c>
    </row>
    <row r="11" spans="2:20" x14ac:dyDescent="0.45">
      <c r="B11" s="37">
        <v>9</v>
      </c>
      <c r="C11" t="s">
        <v>247</v>
      </c>
      <c r="D11" t="s">
        <v>209</v>
      </c>
      <c r="E11" t="s">
        <v>247</v>
      </c>
      <c r="F11" t="s">
        <v>209</v>
      </c>
      <c r="H11">
        <v>3</v>
      </c>
      <c r="I11">
        <v>5</v>
      </c>
      <c r="J11">
        <v>3</v>
      </c>
      <c r="K11">
        <v>4</v>
      </c>
      <c r="M11">
        <v>60</v>
      </c>
      <c r="N11">
        <v>96</v>
      </c>
      <c r="Q11">
        <v>60</v>
      </c>
      <c r="R11">
        <v>96</v>
      </c>
    </row>
    <row r="12" spans="2:20" x14ac:dyDescent="0.45">
      <c r="B12" s="37">
        <v>10</v>
      </c>
      <c r="C12" t="s">
        <v>247</v>
      </c>
      <c r="D12" t="s">
        <v>209</v>
      </c>
      <c r="E12" t="s">
        <v>247</v>
      </c>
      <c r="F12" t="s">
        <v>209</v>
      </c>
      <c r="H12">
        <v>3</v>
      </c>
      <c r="I12">
        <v>5</v>
      </c>
      <c r="J12">
        <v>3</v>
      </c>
      <c r="K12">
        <v>4</v>
      </c>
      <c r="M12">
        <v>60</v>
      </c>
      <c r="N12">
        <v>96</v>
      </c>
      <c r="Q12">
        <v>60</v>
      </c>
      <c r="R12">
        <v>96</v>
      </c>
    </row>
    <row r="13" spans="2:20" x14ac:dyDescent="0.45">
      <c r="B13" s="37">
        <v>11</v>
      </c>
      <c r="C13" t="s">
        <v>247</v>
      </c>
      <c r="D13" t="s">
        <v>209</v>
      </c>
      <c r="E13" t="s">
        <v>247</v>
      </c>
      <c r="F13" t="s">
        <v>209</v>
      </c>
      <c r="H13">
        <v>3</v>
      </c>
      <c r="I13">
        <v>5</v>
      </c>
      <c r="J13">
        <v>3</v>
      </c>
      <c r="K13">
        <v>4</v>
      </c>
      <c r="M13">
        <v>60</v>
      </c>
      <c r="N13">
        <v>96</v>
      </c>
      <c r="Q13">
        <v>60</v>
      </c>
      <c r="R13">
        <v>96</v>
      </c>
    </row>
    <row r="14" spans="2:20" x14ac:dyDescent="0.45">
      <c r="B14" s="37">
        <v>12</v>
      </c>
      <c r="C14" t="s">
        <v>247</v>
      </c>
      <c r="D14" t="s">
        <v>209</v>
      </c>
      <c r="E14" t="s">
        <v>247</v>
      </c>
      <c r="F14" t="s">
        <v>209</v>
      </c>
      <c r="H14">
        <v>3</v>
      </c>
      <c r="I14">
        <v>5</v>
      </c>
      <c r="J14">
        <v>3</v>
      </c>
      <c r="K14">
        <v>4</v>
      </c>
      <c r="M14">
        <v>60</v>
      </c>
      <c r="N14">
        <v>96</v>
      </c>
      <c r="Q14">
        <v>60</v>
      </c>
      <c r="R14">
        <v>96</v>
      </c>
    </row>
    <row r="15" spans="2:20" x14ac:dyDescent="0.45">
      <c r="B15" s="37">
        <v>13</v>
      </c>
      <c r="C15" t="s">
        <v>247</v>
      </c>
      <c r="D15" t="s">
        <v>209</v>
      </c>
      <c r="E15" t="s">
        <v>247</v>
      </c>
      <c r="F15" t="s">
        <v>209</v>
      </c>
      <c r="H15">
        <v>3</v>
      </c>
      <c r="I15">
        <v>5</v>
      </c>
      <c r="J15">
        <v>3</v>
      </c>
      <c r="K15">
        <v>4</v>
      </c>
      <c r="M15">
        <v>60</v>
      </c>
      <c r="N15">
        <v>96</v>
      </c>
      <c r="Q15">
        <v>60</v>
      </c>
      <c r="R15">
        <v>96</v>
      </c>
    </row>
    <row r="16" spans="2:20" x14ac:dyDescent="0.45">
      <c r="B16" s="37">
        <v>14</v>
      </c>
      <c r="C16" t="s">
        <v>247</v>
      </c>
      <c r="D16" t="s">
        <v>209</v>
      </c>
      <c r="E16" t="s">
        <v>247</v>
      </c>
      <c r="F16" t="s">
        <v>209</v>
      </c>
      <c r="H16">
        <v>3</v>
      </c>
      <c r="I16">
        <v>5</v>
      </c>
      <c r="J16">
        <v>3</v>
      </c>
      <c r="K16">
        <v>4</v>
      </c>
      <c r="M16">
        <v>60</v>
      </c>
      <c r="N16">
        <v>96</v>
      </c>
      <c r="Q16">
        <v>60</v>
      </c>
      <c r="R16">
        <v>96</v>
      </c>
    </row>
    <row r="17" spans="2:18" x14ac:dyDescent="0.45">
      <c r="B17" s="37">
        <v>15</v>
      </c>
      <c r="C17" t="s">
        <v>247</v>
      </c>
      <c r="D17" t="s">
        <v>209</v>
      </c>
      <c r="E17" t="s">
        <v>247</v>
      </c>
      <c r="F17" t="s">
        <v>209</v>
      </c>
      <c r="H17">
        <v>3</v>
      </c>
      <c r="I17">
        <v>5</v>
      </c>
      <c r="J17">
        <v>3</v>
      </c>
      <c r="K17">
        <v>4</v>
      </c>
      <c r="M17">
        <v>60</v>
      </c>
      <c r="N17">
        <v>96</v>
      </c>
      <c r="Q17">
        <v>60</v>
      </c>
      <c r="R17">
        <v>96</v>
      </c>
    </row>
    <row r="18" spans="2:18" x14ac:dyDescent="0.45">
      <c r="B18" s="37">
        <v>16</v>
      </c>
      <c r="C18" t="s">
        <v>247</v>
      </c>
      <c r="D18" t="s">
        <v>209</v>
      </c>
      <c r="E18" t="s">
        <v>247</v>
      </c>
      <c r="F18" t="s">
        <v>209</v>
      </c>
      <c r="H18">
        <v>3</v>
      </c>
      <c r="I18">
        <v>5</v>
      </c>
      <c r="J18">
        <v>3</v>
      </c>
      <c r="K18">
        <v>4</v>
      </c>
      <c r="M18">
        <v>60</v>
      </c>
      <c r="N18">
        <v>96</v>
      </c>
      <c r="Q18">
        <v>60</v>
      </c>
      <c r="R18">
        <v>96</v>
      </c>
    </row>
    <row r="19" spans="2:18" x14ac:dyDescent="0.45">
      <c r="B19" s="37">
        <v>17</v>
      </c>
      <c r="C19" t="s">
        <v>247</v>
      </c>
      <c r="D19" t="s">
        <v>209</v>
      </c>
      <c r="E19" t="s">
        <v>247</v>
      </c>
      <c r="F19" t="s">
        <v>209</v>
      </c>
      <c r="H19">
        <v>3</v>
      </c>
      <c r="I19">
        <v>5</v>
      </c>
      <c r="J19">
        <v>3</v>
      </c>
      <c r="K19">
        <v>4</v>
      </c>
      <c r="M19">
        <v>60</v>
      </c>
      <c r="N19">
        <v>96</v>
      </c>
      <c r="Q19">
        <v>60</v>
      </c>
      <c r="R19">
        <v>96</v>
      </c>
    </row>
    <row r="20" spans="2:18" x14ac:dyDescent="0.45">
      <c r="B20" s="37">
        <v>18</v>
      </c>
      <c r="C20" t="s">
        <v>247</v>
      </c>
      <c r="D20" t="s">
        <v>209</v>
      </c>
      <c r="E20" t="s">
        <v>247</v>
      </c>
      <c r="F20" t="s">
        <v>209</v>
      </c>
      <c r="H20">
        <v>3</v>
      </c>
      <c r="I20">
        <v>5</v>
      </c>
      <c r="J20">
        <v>3</v>
      </c>
      <c r="K20">
        <v>4</v>
      </c>
      <c r="M20">
        <v>60</v>
      </c>
      <c r="N20">
        <v>96</v>
      </c>
      <c r="Q20">
        <v>60</v>
      </c>
      <c r="R20">
        <v>96</v>
      </c>
    </row>
    <row r="21" spans="2:18" x14ac:dyDescent="0.45">
      <c r="B21" s="37">
        <v>19</v>
      </c>
      <c r="C21" t="s">
        <v>247</v>
      </c>
      <c r="D21" t="s">
        <v>209</v>
      </c>
      <c r="E21" t="s">
        <v>247</v>
      </c>
      <c r="F21" t="s">
        <v>209</v>
      </c>
      <c r="H21">
        <v>3</v>
      </c>
      <c r="I21">
        <v>5</v>
      </c>
      <c r="J21">
        <v>3</v>
      </c>
      <c r="K21">
        <v>4</v>
      </c>
      <c r="M21">
        <v>60</v>
      </c>
      <c r="N21">
        <v>96</v>
      </c>
      <c r="Q21">
        <v>60</v>
      </c>
      <c r="R21">
        <v>96</v>
      </c>
    </row>
    <row r="22" spans="2:18" x14ac:dyDescent="0.45">
      <c r="B22" s="37">
        <v>20</v>
      </c>
      <c r="C22" t="s">
        <v>247</v>
      </c>
      <c r="D22" t="s">
        <v>209</v>
      </c>
      <c r="E22" t="s">
        <v>247</v>
      </c>
      <c r="F22" t="s">
        <v>209</v>
      </c>
      <c r="H22">
        <v>3</v>
      </c>
      <c r="I22">
        <v>5</v>
      </c>
      <c r="J22">
        <v>3</v>
      </c>
      <c r="K22">
        <v>4</v>
      </c>
      <c r="M22">
        <v>60</v>
      </c>
      <c r="N22">
        <v>96</v>
      </c>
      <c r="Q22">
        <v>60</v>
      </c>
      <c r="R22">
        <v>96</v>
      </c>
    </row>
    <row r="23" spans="2:18" x14ac:dyDescent="0.45">
      <c r="B23" s="37">
        <v>21</v>
      </c>
      <c r="C23" t="s">
        <v>247</v>
      </c>
      <c r="D23" t="s">
        <v>209</v>
      </c>
      <c r="E23" t="s">
        <v>247</v>
      </c>
      <c r="F23" t="s">
        <v>209</v>
      </c>
      <c r="H23">
        <v>3</v>
      </c>
      <c r="I23">
        <v>5</v>
      </c>
      <c r="J23">
        <v>3</v>
      </c>
      <c r="K23">
        <v>4</v>
      </c>
      <c r="M23">
        <v>60</v>
      </c>
      <c r="N23">
        <v>96</v>
      </c>
      <c r="Q23">
        <v>60</v>
      </c>
      <c r="R23">
        <v>96</v>
      </c>
    </row>
    <row r="24" spans="2:18" x14ac:dyDescent="0.45">
      <c r="B24" s="37">
        <v>22</v>
      </c>
      <c r="C24" t="s">
        <v>247</v>
      </c>
      <c r="D24" t="s">
        <v>209</v>
      </c>
      <c r="E24" t="s">
        <v>247</v>
      </c>
      <c r="F24" t="s">
        <v>209</v>
      </c>
      <c r="H24">
        <v>3</v>
      </c>
      <c r="I24">
        <v>5</v>
      </c>
      <c r="J24">
        <v>3</v>
      </c>
      <c r="K24">
        <v>4</v>
      </c>
      <c r="M24">
        <v>60</v>
      </c>
      <c r="N24">
        <v>96</v>
      </c>
      <c r="Q24">
        <v>60</v>
      </c>
      <c r="R24">
        <v>96</v>
      </c>
    </row>
    <row r="25" spans="2:18" x14ac:dyDescent="0.45">
      <c r="B25" s="37">
        <v>23</v>
      </c>
      <c r="C25" t="s">
        <v>247</v>
      </c>
      <c r="D25" t="s">
        <v>209</v>
      </c>
      <c r="E25" t="s">
        <v>247</v>
      </c>
      <c r="F25" t="s">
        <v>209</v>
      </c>
      <c r="H25">
        <v>3</v>
      </c>
      <c r="I25">
        <v>5</v>
      </c>
      <c r="J25">
        <v>3</v>
      </c>
      <c r="K25">
        <v>4</v>
      </c>
      <c r="M25">
        <v>60</v>
      </c>
      <c r="N25">
        <v>96</v>
      </c>
      <c r="Q25">
        <v>60</v>
      </c>
      <c r="R25">
        <v>96</v>
      </c>
    </row>
    <row r="26" spans="2:18" x14ac:dyDescent="0.45">
      <c r="B26" s="37">
        <v>24</v>
      </c>
      <c r="C26" t="s">
        <v>247</v>
      </c>
      <c r="D26" t="s">
        <v>209</v>
      </c>
      <c r="E26" t="s">
        <v>247</v>
      </c>
      <c r="F26" t="s">
        <v>209</v>
      </c>
      <c r="H26">
        <v>3</v>
      </c>
      <c r="I26">
        <v>5</v>
      </c>
      <c r="J26">
        <v>3</v>
      </c>
      <c r="K26">
        <v>4</v>
      </c>
      <c r="M26">
        <v>60</v>
      </c>
      <c r="N26">
        <v>96</v>
      </c>
      <c r="Q26">
        <v>60</v>
      </c>
      <c r="R26">
        <v>96</v>
      </c>
    </row>
    <row r="27" spans="2:18" x14ac:dyDescent="0.45">
      <c r="B27" s="37">
        <v>25</v>
      </c>
      <c r="C27" t="s">
        <v>247</v>
      </c>
      <c r="D27" t="s">
        <v>209</v>
      </c>
      <c r="E27" t="s">
        <v>247</v>
      </c>
      <c r="F27" t="s">
        <v>209</v>
      </c>
      <c r="H27">
        <v>3</v>
      </c>
      <c r="I27">
        <v>5</v>
      </c>
      <c r="J27">
        <v>3</v>
      </c>
      <c r="K27">
        <v>4</v>
      </c>
      <c r="M27">
        <v>60</v>
      </c>
      <c r="N27">
        <v>96</v>
      </c>
      <c r="Q27">
        <v>60</v>
      </c>
      <c r="R27">
        <v>96</v>
      </c>
    </row>
    <row r="28" spans="2:18" x14ac:dyDescent="0.45">
      <c r="B28" s="37">
        <v>26</v>
      </c>
      <c r="C28" t="s">
        <v>247</v>
      </c>
      <c r="D28" t="s">
        <v>209</v>
      </c>
      <c r="E28" t="s">
        <v>247</v>
      </c>
      <c r="F28" t="s">
        <v>209</v>
      </c>
      <c r="H28">
        <v>3</v>
      </c>
      <c r="I28">
        <v>5</v>
      </c>
      <c r="J28">
        <v>3</v>
      </c>
      <c r="K28">
        <v>4</v>
      </c>
      <c r="M28">
        <v>60</v>
      </c>
      <c r="N28">
        <v>96</v>
      </c>
      <c r="Q28">
        <v>60</v>
      </c>
      <c r="R28">
        <v>96</v>
      </c>
    </row>
    <row r="29" spans="2:18" x14ac:dyDescent="0.45">
      <c r="B29" s="37">
        <v>27</v>
      </c>
      <c r="C29" t="s">
        <v>247</v>
      </c>
      <c r="D29" t="s">
        <v>209</v>
      </c>
      <c r="E29" t="s">
        <v>247</v>
      </c>
      <c r="F29" t="s">
        <v>209</v>
      </c>
      <c r="H29">
        <v>3</v>
      </c>
      <c r="I29">
        <v>5</v>
      </c>
      <c r="J29">
        <v>3</v>
      </c>
      <c r="K29">
        <v>4</v>
      </c>
      <c r="M29">
        <v>60</v>
      </c>
      <c r="N29">
        <v>96</v>
      </c>
      <c r="Q29">
        <v>60</v>
      </c>
      <c r="R29">
        <v>96</v>
      </c>
    </row>
    <row r="30" spans="2:18" x14ac:dyDescent="0.45">
      <c r="B30" s="37">
        <v>28</v>
      </c>
      <c r="C30" t="s">
        <v>247</v>
      </c>
      <c r="D30" t="s">
        <v>209</v>
      </c>
      <c r="E30" t="s">
        <v>247</v>
      </c>
      <c r="F30" t="s">
        <v>209</v>
      </c>
      <c r="H30">
        <v>3</v>
      </c>
      <c r="I30">
        <v>5</v>
      </c>
      <c r="J30">
        <v>3</v>
      </c>
      <c r="K30">
        <v>4</v>
      </c>
      <c r="M30">
        <v>60</v>
      </c>
      <c r="N30">
        <v>96</v>
      </c>
      <c r="Q30">
        <v>60</v>
      </c>
      <c r="R30">
        <v>96</v>
      </c>
    </row>
    <row r="31" spans="2:18" x14ac:dyDescent="0.45">
      <c r="B31" s="37">
        <v>29</v>
      </c>
      <c r="C31" t="s">
        <v>247</v>
      </c>
      <c r="D31" t="s">
        <v>209</v>
      </c>
      <c r="E31" t="s">
        <v>247</v>
      </c>
      <c r="F31" t="s">
        <v>209</v>
      </c>
      <c r="H31">
        <v>3</v>
      </c>
      <c r="I31">
        <v>5</v>
      </c>
      <c r="J31">
        <v>3</v>
      </c>
      <c r="K31">
        <v>4</v>
      </c>
      <c r="M31">
        <v>60</v>
      </c>
      <c r="N31">
        <v>96</v>
      </c>
      <c r="Q31">
        <v>60</v>
      </c>
      <c r="R31">
        <v>96</v>
      </c>
    </row>
    <row r="32" spans="2:18" x14ac:dyDescent="0.45">
      <c r="B32" s="37">
        <v>30</v>
      </c>
      <c r="C32" t="s">
        <v>247</v>
      </c>
      <c r="D32" t="s">
        <v>209</v>
      </c>
      <c r="E32" t="s">
        <v>247</v>
      </c>
      <c r="F32" t="s">
        <v>209</v>
      </c>
      <c r="H32">
        <v>3</v>
      </c>
      <c r="I32">
        <v>5</v>
      </c>
      <c r="J32">
        <v>3</v>
      </c>
      <c r="K32">
        <v>4</v>
      </c>
      <c r="M32">
        <v>60</v>
      </c>
      <c r="N32">
        <v>96</v>
      </c>
      <c r="Q32">
        <v>60</v>
      </c>
      <c r="R32">
        <v>96</v>
      </c>
    </row>
    <row r="33" spans="2:18" x14ac:dyDescent="0.45">
      <c r="B33" s="37">
        <v>31</v>
      </c>
      <c r="C33" t="s">
        <v>247</v>
      </c>
      <c r="D33" t="s">
        <v>209</v>
      </c>
      <c r="E33" t="s">
        <v>247</v>
      </c>
      <c r="F33" t="s">
        <v>209</v>
      </c>
      <c r="H33">
        <v>5</v>
      </c>
      <c r="I33">
        <v>7</v>
      </c>
      <c r="J33">
        <v>4</v>
      </c>
      <c r="K33">
        <v>5</v>
      </c>
      <c r="M33">
        <v>60</v>
      </c>
      <c r="N33">
        <v>96</v>
      </c>
      <c r="Q33">
        <v>60</v>
      </c>
      <c r="R33">
        <v>96</v>
      </c>
    </row>
    <row r="34" spans="2:18" x14ac:dyDescent="0.45">
      <c r="B34" s="37">
        <v>32</v>
      </c>
      <c r="C34" t="s">
        <v>247</v>
      </c>
      <c r="D34" t="s">
        <v>209</v>
      </c>
      <c r="E34" t="s">
        <v>247</v>
      </c>
      <c r="F34" t="s">
        <v>209</v>
      </c>
      <c r="H34">
        <v>5</v>
      </c>
      <c r="I34">
        <v>7</v>
      </c>
      <c r="J34">
        <v>4</v>
      </c>
      <c r="K34">
        <v>5</v>
      </c>
      <c r="M34">
        <v>60</v>
      </c>
      <c r="N34">
        <v>96</v>
      </c>
      <c r="Q34">
        <v>60</v>
      </c>
      <c r="R34">
        <v>96</v>
      </c>
    </row>
    <row r="35" spans="2:18" x14ac:dyDescent="0.45">
      <c r="B35" s="37">
        <v>33</v>
      </c>
      <c r="C35" t="s">
        <v>247</v>
      </c>
      <c r="D35" t="s">
        <v>209</v>
      </c>
      <c r="E35" t="s">
        <v>247</v>
      </c>
      <c r="F35" t="s">
        <v>209</v>
      </c>
      <c r="H35">
        <v>5</v>
      </c>
      <c r="I35">
        <v>7</v>
      </c>
      <c r="J35">
        <v>4</v>
      </c>
      <c r="K35">
        <v>5</v>
      </c>
      <c r="M35">
        <v>60</v>
      </c>
      <c r="N35">
        <v>96</v>
      </c>
      <c r="Q35">
        <v>60</v>
      </c>
      <c r="R35">
        <v>96</v>
      </c>
    </row>
    <row r="36" spans="2:18" x14ac:dyDescent="0.45">
      <c r="B36" s="37">
        <v>34</v>
      </c>
      <c r="C36" t="s">
        <v>247</v>
      </c>
      <c r="D36" t="s">
        <v>209</v>
      </c>
      <c r="E36" t="s">
        <v>247</v>
      </c>
      <c r="F36" t="s">
        <v>209</v>
      </c>
      <c r="H36">
        <v>5</v>
      </c>
      <c r="I36">
        <v>7</v>
      </c>
      <c r="J36">
        <v>4</v>
      </c>
      <c r="K36">
        <v>5</v>
      </c>
      <c r="M36">
        <v>60</v>
      </c>
      <c r="N36">
        <v>96</v>
      </c>
      <c r="Q36">
        <v>60</v>
      </c>
      <c r="R36">
        <v>96</v>
      </c>
    </row>
    <row r="37" spans="2:18" x14ac:dyDescent="0.45">
      <c r="B37" s="37">
        <v>35</v>
      </c>
      <c r="C37" t="s">
        <v>247</v>
      </c>
      <c r="D37" t="s">
        <v>209</v>
      </c>
      <c r="E37" t="s">
        <v>247</v>
      </c>
      <c r="F37" t="s">
        <v>209</v>
      </c>
      <c r="H37">
        <v>5</v>
      </c>
      <c r="I37">
        <v>7</v>
      </c>
      <c r="J37">
        <v>4</v>
      </c>
      <c r="K37">
        <v>5</v>
      </c>
      <c r="M37">
        <v>60</v>
      </c>
      <c r="N37">
        <v>96</v>
      </c>
      <c r="Q37">
        <v>60</v>
      </c>
      <c r="R37">
        <v>96</v>
      </c>
    </row>
    <row r="38" spans="2:18" x14ac:dyDescent="0.45">
      <c r="B38" s="37">
        <v>36</v>
      </c>
      <c r="C38" t="s">
        <v>247</v>
      </c>
      <c r="D38" t="s">
        <v>209</v>
      </c>
      <c r="E38" t="s">
        <v>247</v>
      </c>
      <c r="F38" t="s">
        <v>209</v>
      </c>
      <c r="H38">
        <v>5</v>
      </c>
      <c r="I38">
        <v>7</v>
      </c>
      <c r="J38">
        <v>4</v>
      </c>
      <c r="K38">
        <v>5</v>
      </c>
      <c r="M38">
        <v>60</v>
      </c>
      <c r="N38">
        <v>96</v>
      </c>
      <c r="Q38">
        <v>60</v>
      </c>
      <c r="R38">
        <v>96</v>
      </c>
    </row>
    <row r="39" spans="2:18" x14ac:dyDescent="0.45">
      <c r="B39" s="37">
        <v>37</v>
      </c>
      <c r="C39" t="s">
        <v>247</v>
      </c>
      <c r="D39" t="s">
        <v>209</v>
      </c>
      <c r="E39" t="s">
        <v>247</v>
      </c>
      <c r="F39" t="s">
        <v>209</v>
      </c>
      <c r="H39">
        <v>5</v>
      </c>
      <c r="I39">
        <v>7</v>
      </c>
      <c r="J39">
        <v>4</v>
      </c>
      <c r="K39">
        <v>5</v>
      </c>
      <c r="M39">
        <v>60</v>
      </c>
      <c r="N39">
        <v>96</v>
      </c>
      <c r="Q39">
        <v>60</v>
      </c>
      <c r="R39">
        <v>96</v>
      </c>
    </row>
    <row r="40" spans="2:18" x14ac:dyDescent="0.45">
      <c r="B40" s="37">
        <v>38</v>
      </c>
      <c r="C40" t="s">
        <v>247</v>
      </c>
      <c r="D40" t="s">
        <v>209</v>
      </c>
      <c r="E40" t="s">
        <v>247</v>
      </c>
      <c r="F40" t="s">
        <v>209</v>
      </c>
      <c r="H40">
        <v>5</v>
      </c>
      <c r="I40">
        <v>7</v>
      </c>
      <c r="J40">
        <v>4</v>
      </c>
      <c r="K40">
        <v>5</v>
      </c>
      <c r="M40">
        <v>60</v>
      </c>
      <c r="N40">
        <v>96</v>
      </c>
      <c r="Q40">
        <v>60</v>
      </c>
      <c r="R40">
        <v>96</v>
      </c>
    </row>
    <row r="41" spans="2:18" x14ac:dyDescent="0.45">
      <c r="B41" s="37">
        <v>39</v>
      </c>
      <c r="C41" t="s">
        <v>247</v>
      </c>
      <c r="D41" t="s">
        <v>209</v>
      </c>
      <c r="E41" t="s">
        <v>247</v>
      </c>
      <c r="F41" t="s">
        <v>209</v>
      </c>
      <c r="H41">
        <v>5</v>
      </c>
      <c r="I41">
        <v>7</v>
      </c>
      <c r="J41">
        <v>4</v>
      </c>
      <c r="K41">
        <v>5</v>
      </c>
      <c r="M41">
        <v>60</v>
      </c>
      <c r="N41">
        <v>96</v>
      </c>
      <c r="Q41">
        <v>60</v>
      </c>
      <c r="R41">
        <v>96</v>
      </c>
    </row>
    <row r="42" spans="2:18" x14ac:dyDescent="0.45">
      <c r="B42" s="37">
        <v>40</v>
      </c>
      <c r="C42" t="s">
        <v>247</v>
      </c>
      <c r="D42" t="s">
        <v>209</v>
      </c>
      <c r="E42" t="s">
        <v>247</v>
      </c>
      <c r="F42" t="s">
        <v>209</v>
      </c>
      <c r="H42">
        <v>5</v>
      </c>
      <c r="I42">
        <v>7</v>
      </c>
      <c r="J42">
        <v>4</v>
      </c>
      <c r="K42">
        <v>5</v>
      </c>
      <c r="M42">
        <v>60</v>
      </c>
      <c r="N42">
        <v>96</v>
      </c>
      <c r="Q42">
        <v>60</v>
      </c>
      <c r="R42">
        <v>96</v>
      </c>
    </row>
    <row r="43" spans="2:18" x14ac:dyDescent="0.45">
      <c r="B43" s="37">
        <v>41</v>
      </c>
      <c r="C43" t="s">
        <v>247</v>
      </c>
      <c r="D43" t="s">
        <v>209</v>
      </c>
      <c r="E43" t="s">
        <v>247</v>
      </c>
      <c r="F43" t="s">
        <v>209</v>
      </c>
      <c r="H43">
        <v>5</v>
      </c>
      <c r="I43">
        <v>7</v>
      </c>
      <c r="J43">
        <v>4</v>
      </c>
      <c r="K43">
        <v>5</v>
      </c>
      <c r="M43">
        <v>60</v>
      </c>
      <c r="N43">
        <v>96</v>
      </c>
      <c r="Q43">
        <v>60</v>
      </c>
      <c r="R43">
        <v>96</v>
      </c>
    </row>
    <row r="44" spans="2:18" x14ac:dyDescent="0.45">
      <c r="B44" s="37">
        <v>42</v>
      </c>
      <c r="C44" t="s">
        <v>247</v>
      </c>
      <c r="D44" t="s">
        <v>209</v>
      </c>
      <c r="E44" t="s">
        <v>247</v>
      </c>
      <c r="F44" t="s">
        <v>209</v>
      </c>
      <c r="H44">
        <v>5</v>
      </c>
      <c r="I44">
        <v>7</v>
      </c>
      <c r="J44">
        <v>4</v>
      </c>
      <c r="K44">
        <v>5</v>
      </c>
      <c r="M44">
        <v>60</v>
      </c>
      <c r="N44">
        <v>96</v>
      </c>
      <c r="Q44">
        <v>60</v>
      </c>
      <c r="R44">
        <v>96</v>
      </c>
    </row>
    <row r="45" spans="2:18" x14ac:dyDescent="0.45">
      <c r="B45" s="37">
        <v>43</v>
      </c>
      <c r="C45" t="s">
        <v>247</v>
      </c>
      <c r="D45" t="s">
        <v>209</v>
      </c>
      <c r="E45" t="s">
        <v>247</v>
      </c>
      <c r="F45" t="s">
        <v>209</v>
      </c>
      <c r="H45">
        <v>5</v>
      </c>
      <c r="I45">
        <v>7</v>
      </c>
      <c r="J45">
        <v>4</v>
      </c>
      <c r="K45">
        <v>5</v>
      </c>
      <c r="M45">
        <v>60</v>
      </c>
      <c r="N45">
        <v>96</v>
      </c>
      <c r="Q45">
        <v>60</v>
      </c>
      <c r="R45">
        <v>96</v>
      </c>
    </row>
    <row r="46" spans="2:18" x14ac:dyDescent="0.45">
      <c r="B46" s="37">
        <v>44</v>
      </c>
      <c r="C46" t="s">
        <v>247</v>
      </c>
      <c r="D46" t="s">
        <v>209</v>
      </c>
      <c r="E46" t="s">
        <v>247</v>
      </c>
      <c r="F46" t="s">
        <v>209</v>
      </c>
      <c r="H46">
        <v>5</v>
      </c>
      <c r="I46">
        <v>7</v>
      </c>
      <c r="J46">
        <v>4</v>
      </c>
      <c r="K46">
        <v>5</v>
      </c>
      <c r="M46">
        <v>60</v>
      </c>
      <c r="N46">
        <v>96</v>
      </c>
      <c r="Q46">
        <v>60</v>
      </c>
      <c r="R46">
        <v>96</v>
      </c>
    </row>
    <row r="47" spans="2:18" x14ac:dyDescent="0.45">
      <c r="B47" s="37">
        <v>45</v>
      </c>
      <c r="C47" t="s">
        <v>247</v>
      </c>
      <c r="D47" t="s">
        <v>209</v>
      </c>
      <c r="E47" t="s">
        <v>247</v>
      </c>
      <c r="F47" t="s">
        <v>209</v>
      </c>
      <c r="H47">
        <v>5</v>
      </c>
      <c r="I47">
        <v>7</v>
      </c>
      <c r="J47">
        <v>4</v>
      </c>
      <c r="K47">
        <v>5</v>
      </c>
      <c r="M47">
        <v>60</v>
      </c>
      <c r="N47">
        <v>96</v>
      </c>
      <c r="Q47">
        <v>60</v>
      </c>
      <c r="R47">
        <v>96</v>
      </c>
    </row>
    <row r="48" spans="2:18" x14ac:dyDescent="0.45">
      <c r="B48" s="37">
        <v>46</v>
      </c>
      <c r="C48" t="s">
        <v>247</v>
      </c>
      <c r="D48" t="s">
        <v>209</v>
      </c>
      <c r="E48" t="s">
        <v>247</v>
      </c>
      <c r="F48" t="s">
        <v>209</v>
      </c>
      <c r="H48">
        <v>5</v>
      </c>
      <c r="I48">
        <v>7</v>
      </c>
      <c r="J48">
        <v>6</v>
      </c>
      <c r="K48">
        <v>7</v>
      </c>
      <c r="M48">
        <v>60</v>
      </c>
      <c r="N48">
        <v>96</v>
      </c>
      <c r="Q48">
        <v>60</v>
      </c>
      <c r="R48">
        <v>96</v>
      </c>
    </row>
    <row r="49" spans="2:18" x14ac:dyDescent="0.45">
      <c r="B49" s="37">
        <v>47</v>
      </c>
      <c r="C49" t="s">
        <v>247</v>
      </c>
      <c r="D49" t="s">
        <v>209</v>
      </c>
      <c r="E49" t="s">
        <v>247</v>
      </c>
      <c r="F49" t="s">
        <v>209</v>
      </c>
      <c r="H49">
        <v>5</v>
      </c>
      <c r="I49">
        <v>7</v>
      </c>
      <c r="J49">
        <v>6</v>
      </c>
      <c r="K49">
        <v>7</v>
      </c>
      <c r="M49">
        <v>60</v>
      </c>
      <c r="N49">
        <v>96</v>
      </c>
      <c r="Q49">
        <v>60</v>
      </c>
      <c r="R49">
        <v>96</v>
      </c>
    </row>
    <row r="50" spans="2:18" x14ac:dyDescent="0.45">
      <c r="B50" s="37">
        <v>48</v>
      </c>
      <c r="C50" t="s">
        <v>247</v>
      </c>
      <c r="D50" t="s">
        <v>209</v>
      </c>
      <c r="E50" t="s">
        <v>247</v>
      </c>
      <c r="F50" t="s">
        <v>209</v>
      </c>
      <c r="H50">
        <v>5</v>
      </c>
      <c r="I50">
        <v>7</v>
      </c>
      <c r="J50">
        <v>6</v>
      </c>
      <c r="K50">
        <v>7</v>
      </c>
      <c r="M50">
        <v>60</v>
      </c>
      <c r="N50">
        <v>96</v>
      </c>
      <c r="Q50">
        <v>60</v>
      </c>
      <c r="R50">
        <v>96</v>
      </c>
    </row>
    <row r="51" spans="2:18" x14ac:dyDescent="0.45">
      <c r="B51" s="37">
        <v>49</v>
      </c>
      <c r="C51" t="s">
        <v>247</v>
      </c>
      <c r="D51" t="s">
        <v>209</v>
      </c>
      <c r="E51" t="s">
        <v>247</v>
      </c>
      <c r="F51" t="s">
        <v>209</v>
      </c>
      <c r="H51">
        <v>5</v>
      </c>
      <c r="I51">
        <v>7</v>
      </c>
      <c r="J51">
        <v>6</v>
      </c>
      <c r="K51">
        <v>7</v>
      </c>
      <c r="M51">
        <v>60</v>
      </c>
      <c r="N51">
        <v>96</v>
      </c>
      <c r="Q51">
        <v>60</v>
      </c>
      <c r="R51">
        <v>96</v>
      </c>
    </row>
    <row r="52" spans="2:18" x14ac:dyDescent="0.45">
      <c r="B52" s="37">
        <v>50</v>
      </c>
      <c r="C52" t="s">
        <v>247</v>
      </c>
      <c r="D52" t="s">
        <v>209</v>
      </c>
      <c r="E52" t="s">
        <v>247</v>
      </c>
      <c r="F52" t="s">
        <v>209</v>
      </c>
      <c r="H52">
        <v>5</v>
      </c>
      <c r="I52">
        <v>7</v>
      </c>
      <c r="J52">
        <v>6</v>
      </c>
      <c r="K52">
        <v>7</v>
      </c>
      <c r="M52">
        <v>60</v>
      </c>
      <c r="N52">
        <v>96</v>
      </c>
      <c r="Q52">
        <v>60</v>
      </c>
      <c r="R52">
        <v>96</v>
      </c>
    </row>
    <row r="53" spans="2:18" x14ac:dyDescent="0.45">
      <c r="B53" s="37">
        <v>51</v>
      </c>
      <c r="C53" t="s">
        <v>247</v>
      </c>
      <c r="D53" t="s">
        <v>209</v>
      </c>
      <c r="E53" t="s">
        <v>247</v>
      </c>
      <c r="F53" t="s">
        <v>209</v>
      </c>
      <c r="H53">
        <v>5</v>
      </c>
      <c r="I53">
        <v>7</v>
      </c>
      <c r="J53">
        <v>6</v>
      </c>
      <c r="K53">
        <v>7</v>
      </c>
      <c r="M53">
        <v>60</v>
      </c>
      <c r="N53">
        <v>96</v>
      </c>
      <c r="Q53">
        <v>60</v>
      </c>
      <c r="R53">
        <v>96</v>
      </c>
    </row>
    <row r="54" spans="2:18" x14ac:dyDescent="0.45">
      <c r="B54" s="37">
        <v>52</v>
      </c>
      <c r="C54" t="s">
        <v>247</v>
      </c>
      <c r="D54" t="s">
        <v>209</v>
      </c>
      <c r="E54" t="s">
        <v>247</v>
      </c>
      <c r="F54" t="s">
        <v>209</v>
      </c>
      <c r="H54">
        <v>5</v>
      </c>
      <c r="I54">
        <v>7</v>
      </c>
      <c r="J54">
        <v>6</v>
      </c>
      <c r="K54">
        <v>7</v>
      </c>
      <c r="M54">
        <v>60</v>
      </c>
      <c r="N54">
        <v>96</v>
      </c>
      <c r="Q54">
        <v>60</v>
      </c>
      <c r="R54">
        <v>96</v>
      </c>
    </row>
    <row r="55" spans="2:18" x14ac:dyDescent="0.45">
      <c r="B55" s="37">
        <v>53</v>
      </c>
      <c r="C55" t="s">
        <v>247</v>
      </c>
      <c r="D55" t="s">
        <v>209</v>
      </c>
      <c r="E55" t="s">
        <v>247</v>
      </c>
      <c r="F55" t="s">
        <v>209</v>
      </c>
      <c r="H55">
        <v>5</v>
      </c>
      <c r="I55">
        <v>7</v>
      </c>
      <c r="J55">
        <v>6</v>
      </c>
      <c r="K55">
        <v>7</v>
      </c>
      <c r="M55">
        <v>60</v>
      </c>
      <c r="N55">
        <v>96</v>
      </c>
      <c r="Q55">
        <v>60</v>
      </c>
      <c r="R55">
        <v>96</v>
      </c>
    </row>
    <row r="56" spans="2:18" x14ac:dyDescent="0.45">
      <c r="B56" s="37">
        <v>54</v>
      </c>
      <c r="C56" t="s">
        <v>247</v>
      </c>
      <c r="D56" t="s">
        <v>209</v>
      </c>
      <c r="E56" t="s">
        <v>247</v>
      </c>
      <c r="F56" t="s">
        <v>209</v>
      </c>
      <c r="H56">
        <v>5</v>
      </c>
      <c r="I56">
        <v>7</v>
      </c>
      <c r="J56">
        <v>6</v>
      </c>
      <c r="K56">
        <v>7</v>
      </c>
      <c r="M56">
        <v>60</v>
      </c>
      <c r="N56">
        <v>96</v>
      </c>
      <c r="Q56">
        <v>60</v>
      </c>
      <c r="R56">
        <v>96</v>
      </c>
    </row>
    <row r="57" spans="2:18" x14ac:dyDescent="0.45">
      <c r="B57" s="37">
        <v>55</v>
      </c>
      <c r="C57" t="s">
        <v>247</v>
      </c>
      <c r="D57" t="s">
        <v>209</v>
      </c>
      <c r="E57" t="s">
        <v>247</v>
      </c>
      <c r="F57" t="s">
        <v>209</v>
      </c>
      <c r="H57">
        <v>5</v>
      </c>
      <c r="I57">
        <v>7</v>
      </c>
      <c r="J57">
        <v>6</v>
      </c>
      <c r="K57">
        <v>7</v>
      </c>
      <c r="M57">
        <v>60</v>
      </c>
      <c r="N57">
        <v>96</v>
      </c>
      <c r="Q57">
        <v>60</v>
      </c>
      <c r="R57">
        <v>96</v>
      </c>
    </row>
    <row r="58" spans="2:18" x14ac:dyDescent="0.45">
      <c r="B58" s="37">
        <v>56</v>
      </c>
      <c r="C58" t="s">
        <v>247</v>
      </c>
      <c r="D58" t="s">
        <v>209</v>
      </c>
      <c r="E58" t="s">
        <v>247</v>
      </c>
      <c r="F58" t="s">
        <v>209</v>
      </c>
      <c r="H58">
        <v>5</v>
      </c>
      <c r="I58">
        <v>7</v>
      </c>
      <c r="J58">
        <v>6</v>
      </c>
      <c r="K58">
        <v>7</v>
      </c>
      <c r="M58">
        <v>60</v>
      </c>
      <c r="N58">
        <v>96</v>
      </c>
      <c r="Q58">
        <v>60</v>
      </c>
      <c r="R58">
        <v>96</v>
      </c>
    </row>
    <row r="59" spans="2:18" x14ac:dyDescent="0.45">
      <c r="B59" s="37">
        <v>57</v>
      </c>
      <c r="C59" t="s">
        <v>247</v>
      </c>
      <c r="D59" t="s">
        <v>209</v>
      </c>
      <c r="E59" t="s">
        <v>247</v>
      </c>
      <c r="F59" t="s">
        <v>209</v>
      </c>
      <c r="H59">
        <v>5</v>
      </c>
      <c r="I59">
        <v>7</v>
      </c>
      <c r="J59">
        <v>6</v>
      </c>
      <c r="K59">
        <v>7</v>
      </c>
      <c r="M59">
        <v>60</v>
      </c>
      <c r="N59">
        <v>96</v>
      </c>
      <c r="Q59">
        <v>60</v>
      </c>
      <c r="R59">
        <v>96</v>
      </c>
    </row>
    <row r="60" spans="2:18" x14ac:dyDescent="0.45">
      <c r="B60" s="37">
        <v>58</v>
      </c>
      <c r="C60" t="s">
        <v>247</v>
      </c>
      <c r="D60" t="s">
        <v>209</v>
      </c>
      <c r="E60" t="s">
        <v>247</v>
      </c>
      <c r="F60" t="s">
        <v>209</v>
      </c>
      <c r="H60">
        <v>5</v>
      </c>
      <c r="I60">
        <v>7</v>
      </c>
      <c r="J60">
        <v>6</v>
      </c>
      <c r="K60">
        <v>7</v>
      </c>
      <c r="M60">
        <v>60</v>
      </c>
      <c r="N60">
        <v>96</v>
      </c>
      <c r="Q60">
        <v>60</v>
      </c>
      <c r="R60">
        <v>96</v>
      </c>
    </row>
    <row r="61" spans="2:18" x14ac:dyDescent="0.45">
      <c r="B61" s="37">
        <v>59</v>
      </c>
      <c r="C61" t="s">
        <v>247</v>
      </c>
      <c r="D61" t="s">
        <v>209</v>
      </c>
      <c r="E61" t="s">
        <v>247</v>
      </c>
      <c r="F61" t="s">
        <v>209</v>
      </c>
      <c r="H61">
        <v>5</v>
      </c>
      <c r="I61">
        <v>7</v>
      </c>
      <c r="J61">
        <v>6</v>
      </c>
      <c r="K61">
        <v>7</v>
      </c>
      <c r="M61">
        <v>60</v>
      </c>
      <c r="N61">
        <v>96</v>
      </c>
      <c r="Q61">
        <v>60</v>
      </c>
      <c r="R61">
        <v>96</v>
      </c>
    </row>
    <row r="62" spans="2:18" x14ac:dyDescent="0.45">
      <c r="B62" s="37">
        <v>60</v>
      </c>
      <c r="C62" t="s">
        <v>247</v>
      </c>
      <c r="D62" t="s">
        <v>209</v>
      </c>
      <c r="E62" t="s">
        <v>247</v>
      </c>
      <c r="F62" t="s">
        <v>209</v>
      </c>
      <c r="H62">
        <v>5</v>
      </c>
      <c r="I62">
        <v>7</v>
      </c>
      <c r="J62">
        <v>6</v>
      </c>
      <c r="K62">
        <v>7</v>
      </c>
      <c r="M62">
        <v>60</v>
      </c>
      <c r="N62">
        <v>96</v>
      </c>
      <c r="Q62">
        <v>60</v>
      </c>
      <c r="R62">
        <v>96</v>
      </c>
    </row>
    <row r="63" spans="2:18" x14ac:dyDescent="0.45">
      <c r="B63" s="37">
        <v>61</v>
      </c>
      <c r="C63" t="s">
        <v>248</v>
      </c>
      <c r="D63" t="s">
        <v>209</v>
      </c>
      <c r="E63" t="s">
        <v>248</v>
      </c>
      <c r="F63" t="s">
        <v>209</v>
      </c>
      <c r="H63">
        <v>5</v>
      </c>
      <c r="I63">
        <v>7</v>
      </c>
      <c r="J63">
        <v>6</v>
      </c>
      <c r="K63">
        <v>7</v>
      </c>
      <c r="M63">
        <v>48</v>
      </c>
      <c r="N63">
        <v>144</v>
      </c>
      <c r="Q63">
        <v>48</v>
      </c>
      <c r="R63">
        <v>144</v>
      </c>
    </row>
    <row r="64" spans="2:18" x14ac:dyDescent="0.45">
      <c r="B64" s="37">
        <v>62</v>
      </c>
      <c r="C64" t="s">
        <v>248</v>
      </c>
      <c r="D64" t="s">
        <v>209</v>
      </c>
      <c r="E64" t="s">
        <v>248</v>
      </c>
      <c r="F64" t="s">
        <v>209</v>
      </c>
      <c r="H64">
        <v>5</v>
      </c>
      <c r="I64">
        <v>7</v>
      </c>
      <c r="J64">
        <v>6</v>
      </c>
      <c r="K64">
        <v>7</v>
      </c>
      <c r="M64">
        <v>48</v>
      </c>
      <c r="N64">
        <v>144</v>
      </c>
      <c r="Q64">
        <v>48</v>
      </c>
      <c r="R64">
        <v>144</v>
      </c>
    </row>
    <row r="65" spans="2:20" x14ac:dyDescent="0.45">
      <c r="B65" s="37">
        <v>63</v>
      </c>
      <c r="C65" t="s">
        <v>248</v>
      </c>
      <c r="D65" t="s">
        <v>209</v>
      </c>
      <c r="E65" t="s">
        <v>248</v>
      </c>
      <c r="F65" t="s">
        <v>209</v>
      </c>
      <c r="H65">
        <v>5</v>
      </c>
      <c r="I65">
        <v>7</v>
      </c>
      <c r="J65">
        <v>6</v>
      </c>
      <c r="K65">
        <v>7</v>
      </c>
      <c r="M65">
        <v>48</v>
      </c>
      <c r="N65">
        <v>144</v>
      </c>
      <c r="Q65">
        <v>48</v>
      </c>
      <c r="R65">
        <v>144</v>
      </c>
    </row>
    <row r="66" spans="2:20" x14ac:dyDescent="0.45">
      <c r="B66" s="37">
        <v>64</v>
      </c>
      <c r="C66" t="s">
        <v>248</v>
      </c>
      <c r="D66" t="s">
        <v>209</v>
      </c>
      <c r="E66" t="s">
        <v>248</v>
      </c>
      <c r="F66" t="s">
        <v>209</v>
      </c>
      <c r="H66">
        <v>5</v>
      </c>
      <c r="I66">
        <v>7</v>
      </c>
      <c r="J66">
        <v>6</v>
      </c>
      <c r="K66">
        <v>7</v>
      </c>
      <c r="M66">
        <v>48</v>
      </c>
      <c r="N66">
        <v>144</v>
      </c>
      <c r="Q66">
        <v>48</v>
      </c>
      <c r="R66">
        <v>144</v>
      </c>
    </row>
    <row r="67" spans="2:20" x14ac:dyDescent="0.45">
      <c r="B67" s="37">
        <v>65</v>
      </c>
      <c r="C67" t="s">
        <v>248</v>
      </c>
      <c r="D67" t="s">
        <v>209</v>
      </c>
      <c r="E67" t="s">
        <v>248</v>
      </c>
      <c r="F67" t="s">
        <v>209</v>
      </c>
      <c r="H67">
        <v>5</v>
      </c>
      <c r="I67">
        <v>7</v>
      </c>
      <c r="J67">
        <v>6</v>
      </c>
      <c r="K67">
        <v>7</v>
      </c>
      <c r="M67">
        <v>48</v>
      </c>
      <c r="N67">
        <v>144</v>
      </c>
      <c r="Q67">
        <v>48</v>
      </c>
      <c r="R67">
        <v>144</v>
      </c>
    </row>
    <row r="68" spans="2:20" x14ac:dyDescent="0.45">
      <c r="B68" s="37">
        <v>66</v>
      </c>
      <c r="C68" t="s">
        <v>248</v>
      </c>
      <c r="D68" t="s">
        <v>209</v>
      </c>
      <c r="E68" t="s">
        <v>248</v>
      </c>
      <c r="F68" t="s">
        <v>209</v>
      </c>
      <c r="H68">
        <v>5</v>
      </c>
      <c r="I68">
        <v>7</v>
      </c>
      <c r="J68">
        <v>6</v>
      </c>
      <c r="K68">
        <v>7</v>
      </c>
      <c r="M68">
        <v>48</v>
      </c>
      <c r="N68">
        <v>144</v>
      </c>
      <c r="Q68">
        <v>48</v>
      </c>
      <c r="R68">
        <v>144</v>
      </c>
    </row>
    <row r="69" spans="2:20" x14ac:dyDescent="0.45">
      <c r="B69" s="37">
        <v>67</v>
      </c>
      <c r="C69" t="s">
        <v>248</v>
      </c>
      <c r="D69" t="s">
        <v>209</v>
      </c>
      <c r="E69" t="s">
        <v>248</v>
      </c>
      <c r="F69" t="s">
        <v>209</v>
      </c>
      <c r="H69">
        <v>5</v>
      </c>
      <c r="I69">
        <v>7</v>
      </c>
      <c r="J69">
        <v>6</v>
      </c>
      <c r="K69">
        <v>7</v>
      </c>
      <c r="M69">
        <v>48</v>
      </c>
      <c r="N69">
        <v>144</v>
      </c>
      <c r="Q69">
        <v>48</v>
      </c>
      <c r="R69">
        <v>144</v>
      </c>
    </row>
    <row r="70" spans="2:20" x14ac:dyDescent="0.45">
      <c r="B70" s="37">
        <v>68</v>
      </c>
      <c r="C70" t="s">
        <v>248</v>
      </c>
      <c r="D70" t="s">
        <v>209</v>
      </c>
      <c r="E70" t="s">
        <v>248</v>
      </c>
      <c r="F70" t="s">
        <v>209</v>
      </c>
      <c r="H70">
        <v>5</v>
      </c>
      <c r="I70">
        <v>7</v>
      </c>
      <c r="J70">
        <v>6</v>
      </c>
      <c r="K70">
        <v>7</v>
      </c>
      <c r="M70">
        <v>48</v>
      </c>
      <c r="N70">
        <v>144</v>
      </c>
      <c r="Q70">
        <v>48</v>
      </c>
      <c r="R70">
        <v>144</v>
      </c>
    </row>
    <row r="71" spans="2:20" x14ac:dyDescent="0.45">
      <c r="B71" s="37">
        <v>69</v>
      </c>
      <c r="C71" t="s">
        <v>248</v>
      </c>
      <c r="D71" t="s">
        <v>209</v>
      </c>
      <c r="E71" t="s">
        <v>248</v>
      </c>
      <c r="F71" t="s">
        <v>209</v>
      </c>
      <c r="H71">
        <v>5</v>
      </c>
      <c r="I71">
        <v>7</v>
      </c>
      <c r="J71">
        <v>6</v>
      </c>
      <c r="K71">
        <v>7</v>
      </c>
      <c r="M71">
        <v>48</v>
      </c>
      <c r="N71">
        <v>144</v>
      </c>
      <c r="Q71">
        <v>48</v>
      </c>
      <c r="R71">
        <v>144</v>
      </c>
    </row>
    <row r="72" spans="2:20" x14ac:dyDescent="0.45">
      <c r="B72" s="37">
        <v>70</v>
      </c>
      <c r="C72" t="s">
        <v>248</v>
      </c>
      <c r="D72" t="s">
        <v>209</v>
      </c>
      <c r="E72" t="s">
        <v>248</v>
      </c>
      <c r="F72" t="s">
        <v>209</v>
      </c>
      <c r="H72">
        <v>5</v>
      </c>
      <c r="I72">
        <v>7</v>
      </c>
      <c r="J72">
        <v>6</v>
      </c>
      <c r="K72">
        <v>7</v>
      </c>
      <c r="M72">
        <v>48</v>
      </c>
      <c r="N72">
        <v>144</v>
      </c>
      <c r="Q72">
        <v>48</v>
      </c>
      <c r="R72">
        <v>144</v>
      </c>
    </row>
    <row r="73" spans="2:20" x14ac:dyDescent="0.45">
      <c r="B73" s="37">
        <v>71</v>
      </c>
      <c r="C73" t="s">
        <v>248</v>
      </c>
      <c r="D73" t="s">
        <v>209</v>
      </c>
      <c r="E73" t="s">
        <v>248</v>
      </c>
      <c r="F73" t="s">
        <v>209</v>
      </c>
      <c r="H73">
        <v>8</v>
      </c>
      <c r="I73">
        <v>10</v>
      </c>
      <c r="J73">
        <v>9</v>
      </c>
      <c r="K73">
        <v>7</v>
      </c>
      <c r="M73">
        <v>48</v>
      </c>
      <c r="N73">
        <v>144</v>
      </c>
      <c r="Q73">
        <v>48</v>
      </c>
      <c r="R73">
        <v>144</v>
      </c>
    </row>
    <row r="74" spans="2:20" x14ac:dyDescent="0.45">
      <c r="B74" s="37">
        <v>72</v>
      </c>
      <c r="C74" t="s">
        <v>248</v>
      </c>
      <c r="D74" t="s">
        <v>209</v>
      </c>
      <c r="E74" t="s">
        <v>248</v>
      </c>
      <c r="F74" t="s">
        <v>209</v>
      </c>
      <c r="H74">
        <v>8</v>
      </c>
      <c r="I74">
        <v>10</v>
      </c>
      <c r="J74">
        <v>9</v>
      </c>
      <c r="K74">
        <v>7</v>
      </c>
      <c r="M74">
        <v>48</v>
      </c>
      <c r="N74">
        <v>144</v>
      </c>
      <c r="Q74">
        <v>48</v>
      </c>
      <c r="R74">
        <v>144</v>
      </c>
    </row>
    <row r="75" spans="2:20" x14ac:dyDescent="0.45">
      <c r="B75" s="37">
        <v>73</v>
      </c>
      <c r="C75" t="s">
        <v>249</v>
      </c>
      <c r="D75" t="s">
        <v>249</v>
      </c>
      <c r="E75" t="s">
        <v>249</v>
      </c>
      <c r="F75" t="s">
        <v>249</v>
      </c>
      <c r="H75">
        <v>8</v>
      </c>
      <c r="I75">
        <v>10</v>
      </c>
      <c r="J75">
        <v>9</v>
      </c>
      <c r="K75">
        <v>7</v>
      </c>
      <c r="M75">
        <v>48</v>
      </c>
      <c r="N75">
        <v>96</v>
      </c>
      <c r="O75">
        <v>48</v>
      </c>
      <c r="P75">
        <v>96</v>
      </c>
      <c r="Q75">
        <v>48</v>
      </c>
      <c r="R75">
        <v>96</v>
      </c>
      <c r="S75">
        <v>48</v>
      </c>
      <c r="T75">
        <v>96</v>
      </c>
    </row>
    <row r="76" spans="2:20" x14ac:dyDescent="0.45">
      <c r="B76" s="37">
        <v>74</v>
      </c>
      <c r="C76" t="s">
        <v>249</v>
      </c>
      <c r="D76" t="s">
        <v>249</v>
      </c>
      <c r="E76" t="s">
        <v>249</v>
      </c>
      <c r="F76" t="s">
        <v>249</v>
      </c>
      <c r="H76">
        <v>8</v>
      </c>
      <c r="I76">
        <v>10</v>
      </c>
      <c r="J76">
        <v>9</v>
      </c>
      <c r="K76">
        <v>7</v>
      </c>
      <c r="M76">
        <v>48</v>
      </c>
      <c r="N76">
        <v>96</v>
      </c>
      <c r="O76">
        <v>48</v>
      </c>
      <c r="P76">
        <v>96</v>
      </c>
      <c r="Q76">
        <v>48</v>
      </c>
      <c r="R76">
        <v>96</v>
      </c>
      <c r="S76">
        <v>48</v>
      </c>
      <c r="T76">
        <v>96</v>
      </c>
    </row>
    <row r="77" spans="2:20" x14ac:dyDescent="0.45">
      <c r="B77" s="37">
        <v>75</v>
      </c>
      <c r="C77" t="s">
        <v>249</v>
      </c>
      <c r="D77" t="s">
        <v>249</v>
      </c>
      <c r="E77" t="s">
        <v>249</v>
      </c>
      <c r="F77" t="s">
        <v>249</v>
      </c>
      <c r="H77">
        <v>8</v>
      </c>
      <c r="I77">
        <v>10</v>
      </c>
      <c r="J77">
        <v>9</v>
      </c>
      <c r="K77">
        <v>7</v>
      </c>
      <c r="M77">
        <v>48</v>
      </c>
      <c r="N77">
        <v>96</v>
      </c>
      <c r="O77">
        <v>48</v>
      </c>
      <c r="P77">
        <v>96</v>
      </c>
      <c r="Q77">
        <v>48</v>
      </c>
      <c r="R77">
        <v>96</v>
      </c>
      <c r="S77">
        <v>48</v>
      </c>
      <c r="T77">
        <v>96</v>
      </c>
    </row>
    <row r="78" spans="2:20" x14ac:dyDescent="0.45">
      <c r="B78" s="37">
        <v>76</v>
      </c>
      <c r="C78" t="s">
        <v>249</v>
      </c>
      <c r="D78" t="s">
        <v>249</v>
      </c>
      <c r="E78" t="s">
        <v>249</v>
      </c>
      <c r="F78" t="s">
        <v>249</v>
      </c>
      <c r="H78">
        <v>8</v>
      </c>
      <c r="I78">
        <v>10</v>
      </c>
      <c r="J78">
        <v>9</v>
      </c>
      <c r="K78">
        <v>7</v>
      </c>
      <c r="M78">
        <v>48</v>
      </c>
      <c r="N78">
        <v>96</v>
      </c>
      <c r="O78">
        <v>48</v>
      </c>
      <c r="P78">
        <v>96</v>
      </c>
      <c r="Q78">
        <v>48</v>
      </c>
      <c r="R78">
        <v>96</v>
      </c>
      <c r="S78">
        <v>48</v>
      </c>
      <c r="T78">
        <v>96</v>
      </c>
    </row>
    <row r="79" spans="2:20" x14ac:dyDescent="0.45">
      <c r="B79" s="37">
        <v>77</v>
      </c>
      <c r="C79" t="s">
        <v>249</v>
      </c>
      <c r="D79" t="s">
        <v>249</v>
      </c>
      <c r="E79" t="s">
        <v>249</v>
      </c>
      <c r="F79" t="s">
        <v>249</v>
      </c>
      <c r="H79">
        <v>8</v>
      </c>
      <c r="I79">
        <v>10</v>
      </c>
      <c r="J79">
        <v>9</v>
      </c>
      <c r="K79">
        <v>7</v>
      </c>
      <c r="M79">
        <v>48</v>
      </c>
      <c r="N79">
        <v>96</v>
      </c>
      <c r="O79">
        <v>48</v>
      </c>
      <c r="P79">
        <v>96</v>
      </c>
      <c r="Q79">
        <v>48</v>
      </c>
      <c r="R79">
        <v>96</v>
      </c>
      <c r="S79">
        <v>48</v>
      </c>
      <c r="T79">
        <v>96</v>
      </c>
    </row>
    <row r="80" spans="2:20" x14ac:dyDescent="0.45">
      <c r="B80" s="37">
        <v>78</v>
      </c>
      <c r="C80" t="s">
        <v>249</v>
      </c>
      <c r="D80" t="s">
        <v>249</v>
      </c>
      <c r="E80" t="s">
        <v>249</v>
      </c>
      <c r="F80" t="s">
        <v>249</v>
      </c>
      <c r="H80">
        <v>8</v>
      </c>
      <c r="I80">
        <v>10</v>
      </c>
      <c r="J80">
        <v>9</v>
      </c>
      <c r="K80">
        <v>7</v>
      </c>
      <c r="M80">
        <v>48</v>
      </c>
      <c r="N80">
        <v>96</v>
      </c>
      <c r="O80">
        <v>48</v>
      </c>
      <c r="P80">
        <v>96</v>
      </c>
      <c r="Q80">
        <v>48</v>
      </c>
      <c r="R80">
        <v>96</v>
      </c>
      <c r="S80">
        <v>48</v>
      </c>
      <c r="T80">
        <v>96</v>
      </c>
    </row>
    <row r="81" spans="2:20" x14ac:dyDescent="0.45">
      <c r="B81" s="37">
        <v>79</v>
      </c>
      <c r="C81" t="s">
        <v>249</v>
      </c>
      <c r="D81" t="s">
        <v>249</v>
      </c>
      <c r="E81" t="s">
        <v>249</v>
      </c>
      <c r="F81" t="s">
        <v>249</v>
      </c>
      <c r="H81">
        <v>8</v>
      </c>
      <c r="I81">
        <v>10</v>
      </c>
      <c r="J81">
        <v>9</v>
      </c>
      <c r="K81">
        <v>7</v>
      </c>
      <c r="M81">
        <v>48</v>
      </c>
      <c r="N81">
        <v>96</v>
      </c>
      <c r="O81">
        <v>48</v>
      </c>
      <c r="P81">
        <v>96</v>
      </c>
      <c r="Q81">
        <v>48</v>
      </c>
      <c r="R81">
        <v>96</v>
      </c>
      <c r="S81">
        <v>48</v>
      </c>
      <c r="T81">
        <v>96</v>
      </c>
    </row>
    <row r="82" spans="2:20" x14ac:dyDescent="0.45">
      <c r="B82" s="37">
        <v>80</v>
      </c>
      <c r="C82" t="s">
        <v>249</v>
      </c>
      <c r="D82" t="s">
        <v>249</v>
      </c>
      <c r="E82" t="s">
        <v>249</v>
      </c>
      <c r="F82" t="s">
        <v>249</v>
      </c>
      <c r="H82">
        <v>8</v>
      </c>
      <c r="I82">
        <v>10</v>
      </c>
      <c r="J82">
        <v>9</v>
      </c>
      <c r="K82">
        <v>7</v>
      </c>
      <c r="M82">
        <v>48</v>
      </c>
      <c r="N82">
        <v>96</v>
      </c>
      <c r="O82">
        <v>48</v>
      </c>
      <c r="P82">
        <v>96</v>
      </c>
      <c r="Q82">
        <v>48</v>
      </c>
      <c r="R82">
        <v>96</v>
      </c>
      <c r="S82">
        <v>48</v>
      </c>
      <c r="T82">
        <v>96</v>
      </c>
    </row>
    <row r="83" spans="2:20" x14ac:dyDescent="0.45">
      <c r="B83" s="37">
        <v>81</v>
      </c>
      <c r="C83" t="s">
        <v>249</v>
      </c>
      <c r="D83" t="s">
        <v>249</v>
      </c>
      <c r="E83" t="s">
        <v>249</v>
      </c>
      <c r="F83" t="s">
        <v>249</v>
      </c>
      <c r="H83">
        <v>8</v>
      </c>
      <c r="I83">
        <v>10</v>
      </c>
      <c r="J83">
        <v>9</v>
      </c>
      <c r="K83">
        <v>7</v>
      </c>
      <c r="M83">
        <v>48</v>
      </c>
      <c r="N83">
        <v>96</v>
      </c>
      <c r="O83">
        <v>48</v>
      </c>
      <c r="P83">
        <v>96</v>
      </c>
      <c r="Q83">
        <v>48</v>
      </c>
      <c r="R83">
        <v>96</v>
      </c>
      <c r="S83">
        <v>48</v>
      </c>
      <c r="T83">
        <v>96</v>
      </c>
    </row>
    <row r="84" spans="2:20" x14ac:dyDescent="0.45">
      <c r="B84" s="37">
        <v>82</v>
      </c>
      <c r="C84" t="s">
        <v>249</v>
      </c>
      <c r="D84" t="s">
        <v>249</v>
      </c>
      <c r="E84" t="s">
        <v>249</v>
      </c>
      <c r="F84" t="s">
        <v>249</v>
      </c>
      <c r="H84">
        <v>8</v>
      </c>
      <c r="I84">
        <v>10</v>
      </c>
      <c r="J84">
        <v>9</v>
      </c>
      <c r="K84">
        <v>7</v>
      </c>
      <c r="M84">
        <v>48</v>
      </c>
      <c r="N84">
        <v>96</v>
      </c>
      <c r="O84">
        <v>48</v>
      </c>
      <c r="P84">
        <v>96</v>
      </c>
      <c r="Q84">
        <v>48</v>
      </c>
      <c r="R84">
        <v>96</v>
      </c>
      <c r="S84">
        <v>48</v>
      </c>
      <c r="T84">
        <v>96</v>
      </c>
    </row>
    <row r="85" spans="2:20" x14ac:dyDescent="0.45">
      <c r="B85" s="37">
        <v>83</v>
      </c>
      <c r="C85" t="s">
        <v>249</v>
      </c>
      <c r="D85" t="s">
        <v>249</v>
      </c>
      <c r="E85" t="s">
        <v>249</v>
      </c>
      <c r="F85" t="s">
        <v>249</v>
      </c>
      <c r="H85">
        <v>8</v>
      </c>
      <c r="I85">
        <v>10</v>
      </c>
      <c r="J85">
        <v>9</v>
      </c>
      <c r="K85">
        <v>7</v>
      </c>
      <c r="M85">
        <v>48</v>
      </c>
      <c r="N85">
        <v>96</v>
      </c>
      <c r="O85">
        <v>48</v>
      </c>
      <c r="P85">
        <v>96</v>
      </c>
      <c r="Q85">
        <v>48</v>
      </c>
      <c r="R85">
        <v>96</v>
      </c>
      <c r="S85">
        <v>48</v>
      </c>
      <c r="T85">
        <v>96</v>
      </c>
    </row>
    <row r="86" spans="2:20" x14ac:dyDescent="0.45">
      <c r="B86" s="37">
        <v>84</v>
      </c>
      <c r="C86" t="s">
        <v>249</v>
      </c>
      <c r="D86" t="s">
        <v>249</v>
      </c>
      <c r="E86" t="s">
        <v>249</v>
      </c>
      <c r="F86" t="s">
        <v>249</v>
      </c>
      <c r="H86">
        <v>8</v>
      </c>
      <c r="I86">
        <v>10</v>
      </c>
      <c r="J86">
        <v>9</v>
      </c>
      <c r="K86">
        <v>7</v>
      </c>
      <c r="M86">
        <v>48</v>
      </c>
      <c r="N86">
        <v>96</v>
      </c>
      <c r="O86">
        <v>48</v>
      </c>
      <c r="P86">
        <v>96</v>
      </c>
      <c r="Q86">
        <v>48</v>
      </c>
      <c r="R86">
        <v>96</v>
      </c>
      <c r="S86">
        <v>48</v>
      </c>
      <c r="T86">
        <v>96</v>
      </c>
    </row>
    <row r="87" spans="2:20" x14ac:dyDescent="0.45">
      <c r="B87" s="37">
        <v>85</v>
      </c>
      <c r="C87" t="s">
        <v>250</v>
      </c>
      <c r="D87" t="s">
        <v>209</v>
      </c>
      <c r="E87" t="s">
        <v>251</v>
      </c>
      <c r="F87" t="s">
        <v>251</v>
      </c>
      <c r="H87">
        <v>10</v>
      </c>
      <c r="I87">
        <v>12</v>
      </c>
      <c r="J87">
        <v>9</v>
      </c>
      <c r="K87">
        <v>7</v>
      </c>
      <c r="M87">
        <v>60</v>
      </c>
      <c r="N87">
        <v>192</v>
      </c>
      <c r="Q87">
        <v>60</v>
      </c>
      <c r="R87">
        <v>120</v>
      </c>
      <c r="S87">
        <v>60</v>
      </c>
      <c r="T87">
        <v>120</v>
      </c>
    </row>
    <row r="88" spans="2:20" x14ac:dyDescent="0.45">
      <c r="B88" s="37">
        <v>86</v>
      </c>
      <c r="C88" t="s">
        <v>250</v>
      </c>
      <c r="D88" t="s">
        <v>209</v>
      </c>
      <c r="E88" t="s">
        <v>251</v>
      </c>
      <c r="F88" t="s">
        <v>251</v>
      </c>
      <c r="H88">
        <v>10</v>
      </c>
      <c r="I88">
        <v>12</v>
      </c>
      <c r="J88">
        <v>9</v>
      </c>
      <c r="K88">
        <v>7</v>
      </c>
      <c r="M88">
        <v>60</v>
      </c>
      <c r="N88">
        <v>192</v>
      </c>
      <c r="Q88">
        <v>60</v>
      </c>
      <c r="R88">
        <v>120</v>
      </c>
      <c r="S88">
        <v>60</v>
      </c>
      <c r="T88">
        <v>120</v>
      </c>
    </row>
    <row r="89" spans="2:20" x14ac:dyDescent="0.45">
      <c r="B89" s="37">
        <v>87</v>
      </c>
      <c r="C89" t="s">
        <v>250</v>
      </c>
      <c r="D89" t="s">
        <v>209</v>
      </c>
      <c r="E89" t="s">
        <v>251</v>
      </c>
      <c r="F89" t="s">
        <v>251</v>
      </c>
      <c r="H89">
        <v>10</v>
      </c>
      <c r="I89">
        <v>12</v>
      </c>
      <c r="J89">
        <v>9</v>
      </c>
      <c r="K89">
        <v>7</v>
      </c>
      <c r="M89">
        <v>60</v>
      </c>
      <c r="N89">
        <v>192</v>
      </c>
      <c r="Q89">
        <v>60</v>
      </c>
      <c r="R89">
        <v>120</v>
      </c>
      <c r="S89">
        <v>60</v>
      </c>
      <c r="T89">
        <v>120</v>
      </c>
    </row>
    <row r="90" spans="2:20" x14ac:dyDescent="0.45">
      <c r="B90" s="37">
        <v>88</v>
      </c>
      <c r="C90" t="s">
        <v>250</v>
      </c>
      <c r="D90" t="s">
        <v>209</v>
      </c>
      <c r="E90" t="s">
        <v>251</v>
      </c>
      <c r="F90" t="s">
        <v>251</v>
      </c>
      <c r="H90">
        <v>10</v>
      </c>
      <c r="I90">
        <v>12</v>
      </c>
      <c r="J90">
        <v>9</v>
      </c>
      <c r="K90">
        <v>7</v>
      </c>
      <c r="M90">
        <v>60</v>
      </c>
      <c r="N90">
        <v>192</v>
      </c>
      <c r="Q90">
        <v>60</v>
      </c>
      <c r="R90">
        <v>120</v>
      </c>
      <c r="S90">
        <v>60</v>
      </c>
      <c r="T90">
        <v>120</v>
      </c>
    </row>
    <row r="91" spans="2:20" x14ac:dyDescent="0.45">
      <c r="B91" s="37">
        <v>89</v>
      </c>
      <c r="C91" t="s">
        <v>250</v>
      </c>
      <c r="D91" t="s">
        <v>209</v>
      </c>
      <c r="E91" t="s">
        <v>251</v>
      </c>
      <c r="F91" t="s">
        <v>251</v>
      </c>
      <c r="H91">
        <v>10</v>
      </c>
      <c r="I91">
        <v>12</v>
      </c>
      <c r="J91">
        <v>9</v>
      </c>
      <c r="K91">
        <v>7</v>
      </c>
      <c r="M91">
        <v>60</v>
      </c>
      <c r="N91">
        <v>192</v>
      </c>
      <c r="Q91">
        <v>60</v>
      </c>
      <c r="R91">
        <v>120</v>
      </c>
      <c r="S91">
        <v>60</v>
      </c>
      <c r="T91">
        <v>120</v>
      </c>
    </row>
    <row r="92" spans="2:20" x14ac:dyDescent="0.45">
      <c r="B92" s="37">
        <v>90</v>
      </c>
      <c r="C92" t="s">
        <v>250</v>
      </c>
      <c r="D92" t="s">
        <v>209</v>
      </c>
      <c r="E92" t="s">
        <v>251</v>
      </c>
      <c r="F92" t="s">
        <v>251</v>
      </c>
      <c r="H92">
        <v>10</v>
      </c>
      <c r="I92">
        <v>12</v>
      </c>
      <c r="J92">
        <v>9</v>
      </c>
      <c r="K92">
        <v>7</v>
      </c>
      <c r="M92">
        <v>60</v>
      </c>
      <c r="N92">
        <v>192</v>
      </c>
      <c r="Q92">
        <v>60</v>
      </c>
      <c r="R92">
        <v>120</v>
      </c>
      <c r="S92">
        <v>60</v>
      </c>
      <c r="T92">
        <v>120</v>
      </c>
    </row>
    <row r="93" spans="2:20" x14ac:dyDescent="0.45">
      <c r="B93" s="37">
        <v>91</v>
      </c>
      <c r="C93" t="s">
        <v>250</v>
      </c>
      <c r="D93" t="s">
        <v>209</v>
      </c>
      <c r="E93" t="s">
        <v>251</v>
      </c>
      <c r="F93" t="s">
        <v>251</v>
      </c>
      <c r="H93">
        <v>10</v>
      </c>
      <c r="I93">
        <v>12</v>
      </c>
      <c r="J93">
        <v>9</v>
      </c>
      <c r="K93">
        <v>8</v>
      </c>
      <c r="M93">
        <v>60</v>
      </c>
      <c r="N93">
        <v>192</v>
      </c>
      <c r="Q93">
        <v>60</v>
      </c>
      <c r="R93">
        <v>120</v>
      </c>
      <c r="S93">
        <v>60</v>
      </c>
      <c r="T93">
        <v>120</v>
      </c>
    </row>
    <row r="94" spans="2:20" x14ac:dyDescent="0.45">
      <c r="B94" s="37">
        <v>92</v>
      </c>
      <c r="C94" t="s">
        <v>250</v>
      </c>
      <c r="D94" t="s">
        <v>209</v>
      </c>
      <c r="E94" t="s">
        <v>251</v>
      </c>
      <c r="F94" t="s">
        <v>251</v>
      </c>
      <c r="H94">
        <v>10</v>
      </c>
      <c r="I94">
        <v>12</v>
      </c>
      <c r="J94">
        <v>9</v>
      </c>
      <c r="K94">
        <v>8</v>
      </c>
      <c r="M94">
        <v>60</v>
      </c>
      <c r="N94">
        <v>192</v>
      </c>
      <c r="Q94">
        <v>60</v>
      </c>
      <c r="R94">
        <v>120</v>
      </c>
      <c r="S94">
        <v>60</v>
      </c>
      <c r="T94">
        <v>120</v>
      </c>
    </row>
    <row r="95" spans="2:20" x14ac:dyDescent="0.45">
      <c r="B95" s="37">
        <v>93</v>
      </c>
      <c r="C95" t="s">
        <v>250</v>
      </c>
      <c r="D95" t="s">
        <v>209</v>
      </c>
      <c r="E95" t="s">
        <v>251</v>
      </c>
      <c r="F95" t="s">
        <v>251</v>
      </c>
      <c r="H95">
        <v>10</v>
      </c>
      <c r="I95">
        <v>12</v>
      </c>
      <c r="J95">
        <v>9</v>
      </c>
      <c r="K95">
        <v>8</v>
      </c>
      <c r="M95">
        <v>60</v>
      </c>
      <c r="N95">
        <v>192</v>
      </c>
      <c r="Q95">
        <v>60</v>
      </c>
      <c r="R95">
        <v>120</v>
      </c>
      <c r="S95">
        <v>60</v>
      </c>
      <c r="T95">
        <v>120</v>
      </c>
    </row>
    <row r="96" spans="2:20" x14ac:dyDescent="0.45">
      <c r="B96" s="37">
        <v>94</v>
      </c>
      <c r="C96" t="s">
        <v>250</v>
      </c>
      <c r="D96" t="s">
        <v>209</v>
      </c>
      <c r="E96" t="s">
        <v>251</v>
      </c>
      <c r="F96" t="s">
        <v>251</v>
      </c>
      <c r="H96">
        <v>10</v>
      </c>
      <c r="I96">
        <v>12</v>
      </c>
      <c r="J96">
        <v>9</v>
      </c>
      <c r="K96">
        <v>8</v>
      </c>
      <c r="M96">
        <v>60</v>
      </c>
      <c r="N96">
        <v>192</v>
      </c>
      <c r="Q96">
        <v>60</v>
      </c>
      <c r="R96">
        <v>120</v>
      </c>
      <c r="S96">
        <v>60</v>
      </c>
      <c r="T96">
        <v>120</v>
      </c>
    </row>
    <row r="97" spans="2:20" x14ac:dyDescent="0.45">
      <c r="B97" s="37">
        <v>95</v>
      </c>
      <c r="C97" t="s">
        <v>250</v>
      </c>
      <c r="D97" t="s">
        <v>209</v>
      </c>
      <c r="E97" t="s">
        <v>251</v>
      </c>
      <c r="F97" t="s">
        <v>251</v>
      </c>
      <c r="H97">
        <v>10</v>
      </c>
      <c r="I97">
        <v>12</v>
      </c>
      <c r="J97">
        <v>9</v>
      </c>
      <c r="K97">
        <v>8</v>
      </c>
      <c r="M97">
        <v>60</v>
      </c>
      <c r="N97">
        <v>192</v>
      </c>
      <c r="Q97">
        <v>60</v>
      </c>
      <c r="R97">
        <v>120</v>
      </c>
      <c r="S97">
        <v>60</v>
      </c>
      <c r="T97">
        <v>120</v>
      </c>
    </row>
    <row r="98" spans="2:20" x14ac:dyDescent="0.45">
      <c r="B98" s="37">
        <v>96</v>
      </c>
      <c r="C98" t="s">
        <v>250</v>
      </c>
      <c r="D98" t="s">
        <v>209</v>
      </c>
      <c r="E98" t="s">
        <v>251</v>
      </c>
      <c r="F98" t="s">
        <v>251</v>
      </c>
      <c r="H98">
        <v>10</v>
      </c>
      <c r="I98">
        <v>12</v>
      </c>
      <c r="J98">
        <v>9</v>
      </c>
      <c r="K98">
        <v>8</v>
      </c>
      <c r="M98">
        <v>60</v>
      </c>
      <c r="N98">
        <v>192</v>
      </c>
      <c r="Q98">
        <v>60</v>
      </c>
      <c r="R98">
        <v>120</v>
      </c>
      <c r="S98">
        <v>60</v>
      </c>
      <c r="T98">
        <v>120</v>
      </c>
    </row>
    <row r="99" spans="2:20" x14ac:dyDescent="0.45">
      <c r="B99" s="37">
        <v>97</v>
      </c>
      <c r="C99" t="s">
        <v>252</v>
      </c>
      <c r="D99" t="s">
        <v>209</v>
      </c>
      <c r="E99" t="s">
        <v>251</v>
      </c>
      <c r="F99" t="s">
        <v>251</v>
      </c>
      <c r="H99">
        <v>10</v>
      </c>
      <c r="I99">
        <v>12</v>
      </c>
      <c r="J99">
        <v>11</v>
      </c>
      <c r="K99">
        <v>9</v>
      </c>
      <c r="M99">
        <v>60</v>
      </c>
      <c r="N99">
        <v>210</v>
      </c>
      <c r="Q99">
        <v>60</v>
      </c>
      <c r="R99">
        <v>120</v>
      </c>
      <c r="S99">
        <v>60</v>
      </c>
      <c r="T99">
        <v>120</v>
      </c>
    </row>
    <row r="100" spans="2:20" x14ac:dyDescent="0.45">
      <c r="B100" s="37">
        <v>98</v>
      </c>
      <c r="C100" t="s">
        <v>252</v>
      </c>
      <c r="D100" t="s">
        <v>209</v>
      </c>
      <c r="E100" t="s">
        <v>251</v>
      </c>
      <c r="F100" t="s">
        <v>251</v>
      </c>
      <c r="H100">
        <v>10</v>
      </c>
      <c r="I100">
        <v>12</v>
      </c>
      <c r="J100">
        <v>11</v>
      </c>
      <c r="K100">
        <v>9</v>
      </c>
      <c r="M100">
        <v>60</v>
      </c>
      <c r="N100">
        <v>210</v>
      </c>
      <c r="Q100">
        <v>60</v>
      </c>
      <c r="R100">
        <v>120</v>
      </c>
      <c r="S100">
        <v>60</v>
      </c>
      <c r="T100">
        <v>120</v>
      </c>
    </row>
    <row r="101" spans="2:20" x14ac:dyDescent="0.45">
      <c r="B101" s="37">
        <v>99</v>
      </c>
      <c r="C101" t="s">
        <v>252</v>
      </c>
      <c r="D101" t="s">
        <v>209</v>
      </c>
      <c r="E101" t="s">
        <v>251</v>
      </c>
      <c r="F101" t="s">
        <v>251</v>
      </c>
      <c r="H101">
        <v>10</v>
      </c>
      <c r="I101">
        <v>12</v>
      </c>
      <c r="J101">
        <v>11</v>
      </c>
      <c r="K101">
        <v>9</v>
      </c>
      <c r="M101">
        <v>60</v>
      </c>
      <c r="N101">
        <v>210</v>
      </c>
      <c r="Q101">
        <v>60</v>
      </c>
      <c r="R101">
        <v>120</v>
      </c>
      <c r="S101">
        <v>60</v>
      </c>
      <c r="T101">
        <v>120</v>
      </c>
    </row>
    <row r="102" spans="2:20" x14ac:dyDescent="0.45">
      <c r="B102" s="37">
        <v>100</v>
      </c>
      <c r="C102" t="s">
        <v>252</v>
      </c>
      <c r="D102" t="s">
        <v>209</v>
      </c>
      <c r="E102" t="s">
        <v>251</v>
      </c>
      <c r="F102" t="s">
        <v>251</v>
      </c>
      <c r="H102">
        <v>10</v>
      </c>
      <c r="I102">
        <v>12</v>
      </c>
      <c r="J102">
        <v>11</v>
      </c>
      <c r="K102">
        <v>9</v>
      </c>
      <c r="M102">
        <v>60</v>
      </c>
      <c r="N102">
        <v>210</v>
      </c>
      <c r="Q102">
        <v>60</v>
      </c>
      <c r="R102">
        <v>120</v>
      </c>
      <c r="S102">
        <v>60</v>
      </c>
      <c r="T102">
        <v>120</v>
      </c>
    </row>
    <row r="103" spans="2:20" x14ac:dyDescent="0.45">
      <c r="B103" s="37">
        <v>101</v>
      </c>
      <c r="C103" t="s">
        <v>252</v>
      </c>
      <c r="D103" t="s">
        <v>209</v>
      </c>
      <c r="E103" t="s">
        <v>251</v>
      </c>
      <c r="F103" t="s">
        <v>251</v>
      </c>
      <c r="H103">
        <v>10</v>
      </c>
      <c r="I103">
        <v>12</v>
      </c>
      <c r="J103">
        <v>11</v>
      </c>
      <c r="K103">
        <v>9</v>
      </c>
      <c r="M103">
        <v>60</v>
      </c>
      <c r="N103">
        <v>210</v>
      </c>
      <c r="Q103">
        <v>60</v>
      </c>
      <c r="R103">
        <v>120</v>
      </c>
      <c r="S103">
        <v>60</v>
      </c>
      <c r="T103">
        <v>120</v>
      </c>
    </row>
    <row r="104" spans="2:20" x14ac:dyDescent="0.45">
      <c r="B104" s="37">
        <v>102</v>
      </c>
      <c r="C104" t="s">
        <v>252</v>
      </c>
      <c r="D104" t="s">
        <v>209</v>
      </c>
      <c r="E104" t="s">
        <v>251</v>
      </c>
      <c r="F104" t="s">
        <v>251</v>
      </c>
      <c r="H104">
        <v>10</v>
      </c>
      <c r="I104">
        <v>12</v>
      </c>
      <c r="J104">
        <v>11</v>
      </c>
      <c r="K104">
        <v>9</v>
      </c>
      <c r="M104">
        <v>60</v>
      </c>
      <c r="N104">
        <v>210</v>
      </c>
      <c r="Q104">
        <v>60</v>
      </c>
      <c r="R104">
        <v>120</v>
      </c>
      <c r="S104">
        <v>60</v>
      </c>
      <c r="T104">
        <v>120</v>
      </c>
    </row>
    <row r="105" spans="2:20" x14ac:dyDescent="0.45">
      <c r="B105" s="37">
        <v>103</v>
      </c>
      <c r="C105" t="s">
        <v>252</v>
      </c>
      <c r="D105" t="s">
        <v>209</v>
      </c>
      <c r="E105" t="s">
        <v>251</v>
      </c>
      <c r="F105" t="s">
        <v>251</v>
      </c>
      <c r="H105">
        <v>11</v>
      </c>
      <c r="I105">
        <v>14</v>
      </c>
      <c r="J105">
        <v>12</v>
      </c>
      <c r="K105">
        <v>9</v>
      </c>
      <c r="M105">
        <v>60</v>
      </c>
      <c r="N105">
        <v>210</v>
      </c>
      <c r="Q105">
        <v>60</v>
      </c>
      <c r="R105">
        <v>120</v>
      </c>
      <c r="S105">
        <v>60</v>
      </c>
      <c r="T105">
        <v>120</v>
      </c>
    </row>
    <row r="106" spans="2:20" x14ac:dyDescent="0.45">
      <c r="B106" s="37">
        <v>104</v>
      </c>
      <c r="C106" t="s">
        <v>252</v>
      </c>
      <c r="D106" t="s">
        <v>209</v>
      </c>
      <c r="E106" t="s">
        <v>251</v>
      </c>
      <c r="F106" t="s">
        <v>251</v>
      </c>
      <c r="H106">
        <v>11</v>
      </c>
      <c r="I106">
        <v>14</v>
      </c>
      <c r="J106">
        <v>12</v>
      </c>
      <c r="K106">
        <v>9</v>
      </c>
      <c r="M106">
        <v>60</v>
      </c>
      <c r="N106">
        <v>210</v>
      </c>
      <c r="Q106">
        <v>60</v>
      </c>
      <c r="R106">
        <v>120</v>
      </c>
      <c r="S106">
        <v>60</v>
      </c>
      <c r="T106">
        <v>120</v>
      </c>
    </row>
    <row r="107" spans="2:20" x14ac:dyDescent="0.45">
      <c r="B107" s="37">
        <v>105</v>
      </c>
      <c r="C107" t="s">
        <v>252</v>
      </c>
      <c r="D107" t="s">
        <v>209</v>
      </c>
      <c r="E107" t="s">
        <v>251</v>
      </c>
      <c r="F107" t="s">
        <v>251</v>
      </c>
      <c r="H107">
        <v>11</v>
      </c>
      <c r="I107">
        <v>14</v>
      </c>
      <c r="J107">
        <v>12</v>
      </c>
      <c r="K107">
        <v>9</v>
      </c>
      <c r="M107">
        <v>60</v>
      </c>
      <c r="N107">
        <v>210</v>
      </c>
      <c r="Q107">
        <v>60</v>
      </c>
      <c r="R107">
        <v>120</v>
      </c>
      <c r="S107">
        <v>60</v>
      </c>
      <c r="T107">
        <v>120</v>
      </c>
    </row>
    <row r="108" spans="2:20" x14ac:dyDescent="0.45">
      <c r="B108" s="37">
        <v>106</v>
      </c>
      <c r="C108" t="s">
        <v>252</v>
      </c>
      <c r="D108" t="s">
        <v>209</v>
      </c>
      <c r="E108" t="s">
        <v>251</v>
      </c>
      <c r="F108" t="s">
        <v>251</v>
      </c>
      <c r="H108">
        <v>11</v>
      </c>
      <c r="I108">
        <v>14</v>
      </c>
      <c r="J108">
        <v>12</v>
      </c>
      <c r="K108">
        <v>9</v>
      </c>
      <c r="M108">
        <v>60</v>
      </c>
      <c r="N108">
        <v>210</v>
      </c>
      <c r="Q108">
        <v>60</v>
      </c>
      <c r="R108">
        <v>120</v>
      </c>
      <c r="S108">
        <v>60</v>
      </c>
      <c r="T108">
        <v>120</v>
      </c>
    </row>
    <row r="109" spans="2:20" x14ac:dyDescent="0.45">
      <c r="B109" s="37">
        <v>107</v>
      </c>
      <c r="C109" t="s">
        <v>252</v>
      </c>
      <c r="D109" t="s">
        <v>209</v>
      </c>
      <c r="E109" t="s">
        <v>251</v>
      </c>
      <c r="F109" t="s">
        <v>251</v>
      </c>
      <c r="H109">
        <v>11</v>
      </c>
      <c r="I109">
        <v>14</v>
      </c>
      <c r="J109">
        <v>12</v>
      </c>
      <c r="K109">
        <v>9</v>
      </c>
      <c r="M109">
        <v>60</v>
      </c>
      <c r="N109">
        <v>210</v>
      </c>
      <c r="Q109">
        <v>60</v>
      </c>
      <c r="R109">
        <v>120</v>
      </c>
      <c r="S109">
        <v>60</v>
      </c>
      <c r="T109">
        <v>120</v>
      </c>
    </row>
    <row r="110" spans="2:20" x14ac:dyDescent="0.45">
      <c r="B110" s="37">
        <v>108</v>
      </c>
      <c r="C110" t="s">
        <v>252</v>
      </c>
      <c r="D110" t="s">
        <v>209</v>
      </c>
      <c r="E110" t="s">
        <v>251</v>
      </c>
      <c r="F110" t="s">
        <v>251</v>
      </c>
      <c r="H110">
        <v>11</v>
      </c>
      <c r="I110">
        <v>14</v>
      </c>
      <c r="J110">
        <v>12</v>
      </c>
      <c r="K110">
        <v>9</v>
      </c>
      <c r="M110">
        <v>60</v>
      </c>
      <c r="N110">
        <v>210</v>
      </c>
      <c r="Q110">
        <v>60</v>
      </c>
      <c r="R110">
        <v>120</v>
      </c>
      <c r="S110">
        <v>60</v>
      </c>
      <c r="T110">
        <v>120</v>
      </c>
    </row>
    <row r="111" spans="2:20" x14ac:dyDescent="0.45">
      <c r="B111" s="37">
        <v>109</v>
      </c>
      <c r="C111" t="s">
        <v>253</v>
      </c>
      <c r="D111" t="s">
        <v>209</v>
      </c>
      <c r="E111" t="s">
        <v>251</v>
      </c>
      <c r="F111" t="s">
        <v>251</v>
      </c>
      <c r="H111">
        <v>11</v>
      </c>
      <c r="I111">
        <v>14</v>
      </c>
      <c r="J111">
        <v>12</v>
      </c>
      <c r="K111">
        <v>9</v>
      </c>
      <c r="M111">
        <v>60</v>
      </c>
      <c r="N111">
        <v>240</v>
      </c>
      <c r="Q111">
        <v>60</v>
      </c>
      <c r="R111">
        <v>120</v>
      </c>
      <c r="S111">
        <v>60</v>
      </c>
      <c r="T111">
        <v>120</v>
      </c>
    </row>
    <row r="112" spans="2:20" x14ac:dyDescent="0.45">
      <c r="B112" s="37">
        <v>110</v>
      </c>
      <c r="C112" t="s">
        <v>253</v>
      </c>
      <c r="D112" t="s">
        <v>209</v>
      </c>
      <c r="E112" t="s">
        <v>251</v>
      </c>
      <c r="F112" t="s">
        <v>251</v>
      </c>
      <c r="H112">
        <v>11</v>
      </c>
      <c r="I112">
        <v>14</v>
      </c>
      <c r="J112">
        <v>12</v>
      </c>
      <c r="K112">
        <v>9</v>
      </c>
      <c r="M112">
        <v>60</v>
      </c>
      <c r="N112">
        <v>240</v>
      </c>
      <c r="Q112">
        <v>60</v>
      </c>
      <c r="R112">
        <v>120</v>
      </c>
      <c r="S112">
        <v>60</v>
      </c>
      <c r="T112">
        <v>120</v>
      </c>
    </row>
    <row r="113" spans="2:20" x14ac:dyDescent="0.45">
      <c r="B113" s="37">
        <v>111</v>
      </c>
      <c r="C113" t="s">
        <v>253</v>
      </c>
      <c r="D113" t="s">
        <v>209</v>
      </c>
      <c r="E113" t="s">
        <v>251</v>
      </c>
      <c r="F113" t="s">
        <v>251</v>
      </c>
      <c r="H113">
        <v>11</v>
      </c>
      <c r="I113">
        <v>14</v>
      </c>
      <c r="J113">
        <v>12</v>
      </c>
      <c r="K113">
        <v>9</v>
      </c>
      <c r="M113">
        <v>60</v>
      </c>
      <c r="N113">
        <v>240</v>
      </c>
      <c r="Q113">
        <v>60</v>
      </c>
      <c r="R113">
        <v>120</v>
      </c>
      <c r="S113">
        <v>60</v>
      </c>
      <c r="T113">
        <v>120</v>
      </c>
    </row>
    <row r="114" spans="2:20" x14ac:dyDescent="0.45">
      <c r="B114" s="37">
        <v>112</v>
      </c>
      <c r="C114" t="s">
        <v>253</v>
      </c>
      <c r="D114" t="s">
        <v>209</v>
      </c>
      <c r="E114" t="s">
        <v>251</v>
      </c>
      <c r="F114" t="s">
        <v>251</v>
      </c>
      <c r="H114">
        <v>11</v>
      </c>
      <c r="I114">
        <v>14</v>
      </c>
      <c r="J114">
        <v>12</v>
      </c>
      <c r="K114">
        <v>9</v>
      </c>
      <c r="M114">
        <v>60</v>
      </c>
      <c r="N114">
        <v>240</v>
      </c>
      <c r="Q114">
        <v>60</v>
      </c>
      <c r="R114">
        <v>120</v>
      </c>
      <c r="S114">
        <v>60</v>
      </c>
      <c r="T114">
        <v>120</v>
      </c>
    </row>
    <row r="115" spans="2:20" x14ac:dyDescent="0.45">
      <c r="B115" s="37">
        <v>113</v>
      </c>
      <c r="C115" t="s">
        <v>253</v>
      </c>
      <c r="D115" t="s">
        <v>209</v>
      </c>
      <c r="E115" t="s">
        <v>251</v>
      </c>
      <c r="F115" t="s">
        <v>251</v>
      </c>
      <c r="H115">
        <v>11</v>
      </c>
      <c r="I115">
        <v>14</v>
      </c>
      <c r="J115">
        <v>12</v>
      </c>
      <c r="K115">
        <v>9</v>
      </c>
      <c r="M115">
        <v>60</v>
      </c>
      <c r="N115">
        <v>240</v>
      </c>
      <c r="Q115">
        <v>60</v>
      </c>
      <c r="R115">
        <v>120</v>
      </c>
      <c r="S115">
        <v>60</v>
      </c>
      <c r="T115">
        <v>120</v>
      </c>
    </row>
    <row r="116" spans="2:20" x14ac:dyDescent="0.45">
      <c r="B116" s="37">
        <v>114</v>
      </c>
      <c r="C116" t="s">
        <v>253</v>
      </c>
      <c r="D116" t="s">
        <v>209</v>
      </c>
      <c r="E116" t="s">
        <v>251</v>
      </c>
      <c r="F116" t="s">
        <v>251</v>
      </c>
      <c r="H116">
        <v>11</v>
      </c>
      <c r="I116">
        <v>14</v>
      </c>
      <c r="J116">
        <v>12</v>
      </c>
      <c r="K116">
        <v>9</v>
      </c>
      <c r="M116">
        <v>60</v>
      </c>
      <c r="N116">
        <v>240</v>
      </c>
      <c r="Q116">
        <v>60</v>
      </c>
      <c r="R116">
        <v>120</v>
      </c>
      <c r="S116">
        <v>60</v>
      </c>
      <c r="T116">
        <v>120</v>
      </c>
    </row>
    <row r="117" spans="2:20" x14ac:dyDescent="0.45">
      <c r="B117" s="37">
        <v>115</v>
      </c>
      <c r="C117" t="s">
        <v>253</v>
      </c>
      <c r="D117" t="s">
        <v>209</v>
      </c>
      <c r="E117" t="s">
        <v>251</v>
      </c>
      <c r="F117" t="s">
        <v>251</v>
      </c>
      <c r="H117">
        <v>11</v>
      </c>
      <c r="I117">
        <v>14</v>
      </c>
      <c r="J117">
        <v>12</v>
      </c>
      <c r="K117">
        <v>10</v>
      </c>
      <c r="M117">
        <v>60</v>
      </c>
      <c r="N117">
        <v>240</v>
      </c>
      <c r="Q117">
        <v>60</v>
      </c>
      <c r="R117">
        <v>120</v>
      </c>
      <c r="S117">
        <v>60</v>
      </c>
      <c r="T117">
        <v>120</v>
      </c>
    </row>
    <row r="118" spans="2:20" x14ac:dyDescent="0.45">
      <c r="B118" s="37">
        <v>116</v>
      </c>
      <c r="C118" t="s">
        <v>253</v>
      </c>
      <c r="D118" t="s">
        <v>209</v>
      </c>
      <c r="E118" t="s">
        <v>251</v>
      </c>
      <c r="F118" t="s">
        <v>251</v>
      </c>
      <c r="H118">
        <v>11</v>
      </c>
      <c r="I118">
        <v>14</v>
      </c>
      <c r="J118">
        <v>12</v>
      </c>
      <c r="K118">
        <v>10</v>
      </c>
      <c r="M118">
        <v>60</v>
      </c>
      <c r="N118">
        <v>240</v>
      </c>
      <c r="Q118">
        <v>60</v>
      </c>
      <c r="R118">
        <v>120</v>
      </c>
      <c r="S118">
        <v>60</v>
      </c>
      <c r="T118">
        <v>120</v>
      </c>
    </row>
    <row r="119" spans="2:20" x14ac:dyDescent="0.45">
      <c r="B119" s="37">
        <v>117</v>
      </c>
      <c r="C119" t="s">
        <v>253</v>
      </c>
      <c r="D119" t="s">
        <v>209</v>
      </c>
      <c r="E119" t="s">
        <v>251</v>
      </c>
      <c r="F119" t="s">
        <v>251</v>
      </c>
      <c r="H119">
        <v>11</v>
      </c>
      <c r="I119">
        <v>14</v>
      </c>
      <c r="J119">
        <v>12</v>
      </c>
      <c r="K119">
        <v>10</v>
      </c>
      <c r="M119">
        <v>60</v>
      </c>
      <c r="N119">
        <v>240</v>
      </c>
      <c r="Q119">
        <v>60</v>
      </c>
      <c r="R119">
        <v>120</v>
      </c>
      <c r="S119">
        <v>60</v>
      </c>
      <c r="T119">
        <v>120</v>
      </c>
    </row>
    <row r="120" spans="2:20" x14ac:dyDescent="0.45">
      <c r="B120" s="37">
        <v>118</v>
      </c>
      <c r="C120" t="s">
        <v>253</v>
      </c>
      <c r="D120" t="s">
        <v>209</v>
      </c>
      <c r="E120" t="s">
        <v>251</v>
      </c>
      <c r="F120" t="s">
        <v>251</v>
      </c>
      <c r="H120">
        <v>11</v>
      </c>
      <c r="I120">
        <v>14</v>
      </c>
      <c r="J120">
        <v>12</v>
      </c>
      <c r="K120">
        <v>10</v>
      </c>
      <c r="M120">
        <v>60</v>
      </c>
      <c r="N120">
        <v>240</v>
      </c>
      <c r="Q120">
        <v>60</v>
      </c>
      <c r="R120">
        <v>120</v>
      </c>
      <c r="S120">
        <v>60</v>
      </c>
      <c r="T120">
        <v>120</v>
      </c>
    </row>
    <row r="121" spans="2:20" x14ac:dyDescent="0.45">
      <c r="B121" s="37">
        <v>119</v>
      </c>
      <c r="C121" t="s">
        <v>253</v>
      </c>
      <c r="D121" t="s">
        <v>209</v>
      </c>
      <c r="E121" t="s">
        <v>251</v>
      </c>
      <c r="F121" t="s">
        <v>251</v>
      </c>
      <c r="H121">
        <v>11</v>
      </c>
      <c r="I121">
        <v>14</v>
      </c>
      <c r="J121">
        <v>12</v>
      </c>
      <c r="K121">
        <v>10</v>
      </c>
      <c r="M121">
        <v>60</v>
      </c>
      <c r="N121">
        <v>240</v>
      </c>
      <c r="Q121">
        <v>60</v>
      </c>
      <c r="R121">
        <v>120</v>
      </c>
      <c r="S121">
        <v>60</v>
      </c>
      <c r="T121">
        <v>120</v>
      </c>
    </row>
    <row r="122" spans="2:20" x14ac:dyDescent="0.45">
      <c r="B122" s="37">
        <v>120</v>
      </c>
      <c r="C122" t="s">
        <v>253</v>
      </c>
      <c r="D122" t="s">
        <v>209</v>
      </c>
      <c r="E122" t="s">
        <v>251</v>
      </c>
      <c r="F122" t="s">
        <v>251</v>
      </c>
      <c r="H122">
        <v>11</v>
      </c>
      <c r="I122">
        <v>14</v>
      </c>
      <c r="J122">
        <v>12</v>
      </c>
      <c r="K122">
        <v>10</v>
      </c>
      <c r="M122">
        <v>60</v>
      </c>
      <c r="N122">
        <v>240</v>
      </c>
      <c r="Q122">
        <v>60</v>
      </c>
      <c r="R122">
        <v>120</v>
      </c>
      <c r="S122">
        <v>60</v>
      </c>
      <c r="T122">
        <v>120</v>
      </c>
    </row>
    <row r="123" spans="2:20" x14ac:dyDescent="0.45">
      <c r="B123" s="37">
        <v>121</v>
      </c>
      <c r="C123" t="s">
        <v>254</v>
      </c>
      <c r="D123" t="s">
        <v>209</v>
      </c>
      <c r="E123" t="s">
        <v>255</v>
      </c>
      <c r="F123" t="s">
        <v>255</v>
      </c>
      <c r="H123">
        <v>12</v>
      </c>
      <c r="I123">
        <v>15</v>
      </c>
      <c r="J123">
        <v>13</v>
      </c>
      <c r="K123">
        <v>10</v>
      </c>
      <c r="M123">
        <v>60</v>
      </c>
      <c r="N123">
        <v>280</v>
      </c>
      <c r="Q123">
        <v>60</v>
      </c>
      <c r="R123">
        <v>144</v>
      </c>
      <c r="S123">
        <v>60</v>
      </c>
      <c r="T123">
        <v>144</v>
      </c>
    </row>
    <row r="124" spans="2:20" x14ac:dyDescent="0.45">
      <c r="B124" s="37">
        <v>122</v>
      </c>
      <c r="C124" t="s">
        <v>254</v>
      </c>
      <c r="D124" t="s">
        <v>209</v>
      </c>
      <c r="E124" t="s">
        <v>255</v>
      </c>
      <c r="F124" t="s">
        <v>255</v>
      </c>
      <c r="H124">
        <v>12</v>
      </c>
      <c r="I124">
        <v>15</v>
      </c>
      <c r="J124">
        <v>13</v>
      </c>
      <c r="K124">
        <v>10</v>
      </c>
      <c r="M124">
        <v>60</v>
      </c>
      <c r="N124">
        <v>280</v>
      </c>
      <c r="Q124">
        <v>60</v>
      </c>
      <c r="R124">
        <v>144</v>
      </c>
      <c r="S124">
        <v>60</v>
      </c>
      <c r="T124">
        <v>144</v>
      </c>
    </row>
    <row r="125" spans="2:20" x14ac:dyDescent="0.45">
      <c r="B125" s="37">
        <v>123</v>
      </c>
      <c r="C125" t="s">
        <v>254</v>
      </c>
      <c r="D125" t="s">
        <v>209</v>
      </c>
      <c r="E125" t="s">
        <v>255</v>
      </c>
      <c r="F125" t="s">
        <v>255</v>
      </c>
      <c r="H125">
        <v>12</v>
      </c>
      <c r="I125">
        <v>15</v>
      </c>
      <c r="J125">
        <v>13</v>
      </c>
      <c r="K125">
        <v>10</v>
      </c>
      <c r="M125">
        <v>60</v>
      </c>
      <c r="N125">
        <v>280</v>
      </c>
      <c r="Q125">
        <v>60</v>
      </c>
      <c r="R125">
        <v>144</v>
      </c>
      <c r="S125">
        <v>60</v>
      </c>
      <c r="T125">
        <v>144</v>
      </c>
    </row>
    <row r="126" spans="2:20" x14ac:dyDescent="0.45">
      <c r="B126" s="37">
        <v>124</v>
      </c>
      <c r="C126" t="s">
        <v>254</v>
      </c>
      <c r="D126" t="s">
        <v>209</v>
      </c>
      <c r="E126" t="s">
        <v>255</v>
      </c>
      <c r="F126" t="s">
        <v>255</v>
      </c>
      <c r="H126">
        <v>12</v>
      </c>
      <c r="I126">
        <v>15</v>
      </c>
      <c r="J126">
        <v>13</v>
      </c>
      <c r="K126">
        <v>10</v>
      </c>
      <c r="M126">
        <v>60</v>
      </c>
      <c r="N126">
        <v>280</v>
      </c>
      <c r="Q126">
        <v>60</v>
      </c>
      <c r="R126">
        <v>144</v>
      </c>
      <c r="S126">
        <v>60</v>
      </c>
      <c r="T126">
        <v>144</v>
      </c>
    </row>
    <row r="127" spans="2:20" x14ac:dyDescent="0.45">
      <c r="B127" s="37">
        <v>125</v>
      </c>
      <c r="C127" t="s">
        <v>254</v>
      </c>
      <c r="D127" t="s">
        <v>209</v>
      </c>
      <c r="E127" t="s">
        <v>255</v>
      </c>
      <c r="F127" t="s">
        <v>255</v>
      </c>
      <c r="H127">
        <v>12</v>
      </c>
      <c r="I127">
        <v>15</v>
      </c>
      <c r="J127">
        <v>13</v>
      </c>
      <c r="K127">
        <v>10</v>
      </c>
      <c r="M127">
        <v>60</v>
      </c>
      <c r="N127">
        <v>280</v>
      </c>
      <c r="Q127">
        <v>60</v>
      </c>
      <c r="R127">
        <v>144</v>
      </c>
      <c r="S127">
        <v>60</v>
      </c>
      <c r="T127">
        <v>144</v>
      </c>
    </row>
    <row r="128" spans="2:20" x14ac:dyDescent="0.45">
      <c r="B128" s="37">
        <v>126</v>
      </c>
      <c r="C128" t="s">
        <v>254</v>
      </c>
      <c r="D128" t="s">
        <v>209</v>
      </c>
      <c r="E128" t="s">
        <v>255</v>
      </c>
      <c r="F128" t="s">
        <v>255</v>
      </c>
      <c r="H128">
        <v>12</v>
      </c>
      <c r="I128">
        <v>15</v>
      </c>
      <c r="J128">
        <v>13</v>
      </c>
      <c r="K128">
        <v>10</v>
      </c>
      <c r="M128">
        <v>60</v>
      </c>
      <c r="N128">
        <v>280</v>
      </c>
      <c r="Q128">
        <v>60</v>
      </c>
      <c r="R128">
        <v>144</v>
      </c>
      <c r="S128">
        <v>60</v>
      </c>
      <c r="T128">
        <v>144</v>
      </c>
    </row>
    <row r="129" spans="2:20" x14ac:dyDescent="0.45">
      <c r="B129" s="37">
        <v>127</v>
      </c>
      <c r="C129" t="s">
        <v>254</v>
      </c>
      <c r="D129" t="s">
        <v>209</v>
      </c>
      <c r="E129" t="s">
        <v>255</v>
      </c>
      <c r="F129" t="s">
        <v>255</v>
      </c>
      <c r="H129">
        <v>14</v>
      </c>
      <c r="I129">
        <v>17</v>
      </c>
      <c r="J129">
        <v>13</v>
      </c>
      <c r="K129">
        <v>10</v>
      </c>
      <c r="M129">
        <v>60</v>
      </c>
      <c r="N129">
        <v>280</v>
      </c>
      <c r="Q129">
        <v>60</v>
      </c>
      <c r="R129">
        <v>144</v>
      </c>
      <c r="S129">
        <v>60</v>
      </c>
      <c r="T129">
        <v>144</v>
      </c>
    </row>
    <row r="130" spans="2:20" x14ac:dyDescent="0.45">
      <c r="B130" s="37">
        <v>128</v>
      </c>
      <c r="C130" t="s">
        <v>254</v>
      </c>
      <c r="D130" t="s">
        <v>209</v>
      </c>
      <c r="E130" t="s">
        <v>255</v>
      </c>
      <c r="F130" t="s">
        <v>255</v>
      </c>
      <c r="H130">
        <v>14</v>
      </c>
      <c r="I130">
        <v>17</v>
      </c>
      <c r="J130">
        <v>13</v>
      </c>
      <c r="K130">
        <v>10</v>
      </c>
      <c r="M130">
        <v>60</v>
      </c>
      <c r="N130">
        <v>280</v>
      </c>
      <c r="Q130">
        <v>60</v>
      </c>
      <c r="R130">
        <v>144</v>
      </c>
      <c r="S130">
        <v>60</v>
      </c>
      <c r="T130">
        <v>144</v>
      </c>
    </row>
    <row r="131" spans="2:20" x14ac:dyDescent="0.45">
      <c r="B131" s="37">
        <v>129</v>
      </c>
      <c r="C131" t="s">
        <v>254</v>
      </c>
      <c r="D131" t="s">
        <v>209</v>
      </c>
      <c r="E131" t="s">
        <v>255</v>
      </c>
      <c r="F131" t="s">
        <v>255</v>
      </c>
      <c r="H131">
        <v>14</v>
      </c>
      <c r="I131">
        <v>17</v>
      </c>
      <c r="J131">
        <v>13</v>
      </c>
      <c r="K131">
        <v>10</v>
      </c>
      <c r="M131">
        <v>60</v>
      </c>
      <c r="N131">
        <v>280</v>
      </c>
      <c r="Q131">
        <v>60</v>
      </c>
      <c r="R131">
        <v>144</v>
      </c>
      <c r="S131">
        <v>60</v>
      </c>
      <c r="T131">
        <v>144</v>
      </c>
    </row>
    <row r="132" spans="2:20" x14ac:dyDescent="0.45">
      <c r="B132" s="37">
        <v>130</v>
      </c>
      <c r="C132" t="s">
        <v>254</v>
      </c>
      <c r="D132" t="s">
        <v>209</v>
      </c>
      <c r="E132" t="s">
        <v>255</v>
      </c>
      <c r="F132" t="s">
        <v>255</v>
      </c>
      <c r="H132">
        <v>14</v>
      </c>
      <c r="I132">
        <v>17</v>
      </c>
      <c r="J132">
        <v>13</v>
      </c>
      <c r="K132">
        <v>10</v>
      </c>
      <c r="M132">
        <v>60</v>
      </c>
      <c r="N132">
        <v>280</v>
      </c>
      <c r="Q132">
        <v>60</v>
      </c>
      <c r="R132">
        <v>144</v>
      </c>
      <c r="S132">
        <v>60</v>
      </c>
      <c r="T132">
        <v>144</v>
      </c>
    </row>
    <row r="133" spans="2:20" x14ac:dyDescent="0.45">
      <c r="B133" s="37">
        <v>131</v>
      </c>
      <c r="C133" t="s">
        <v>254</v>
      </c>
      <c r="D133" t="s">
        <v>209</v>
      </c>
      <c r="E133" t="s">
        <v>255</v>
      </c>
      <c r="F133" t="s">
        <v>255</v>
      </c>
      <c r="H133">
        <v>14</v>
      </c>
      <c r="I133">
        <v>17</v>
      </c>
      <c r="J133">
        <v>13</v>
      </c>
      <c r="K133">
        <v>10</v>
      </c>
      <c r="M133">
        <v>60</v>
      </c>
      <c r="N133">
        <v>280</v>
      </c>
      <c r="Q133">
        <v>60</v>
      </c>
      <c r="R133">
        <v>144</v>
      </c>
      <c r="S133">
        <v>60</v>
      </c>
      <c r="T133">
        <v>144</v>
      </c>
    </row>
    <row r="134" spans="2:20" x14ac:dyDescent="0.45">
      <c r="B134" s="37">
        <v>132</v>
      </c>
      <c r="C134" t="s">
        <v>254</v>
      </c>
      <c r="D134" t="s">
        <v>209</v>
      </c>
      <c r="E134" t="s">
        <v>255</v>
      </c>
      <c r="F134" t="s">
        <v>255</v>
      </c>
      <c r="H134">
        <v>14</v>
      </c>
      <c r="I134">
        <v>17</v>
      </c>
      <c r="J134">
        <v>13</v>
      </c>
      <c r="K134">
        <v>10</v>
      </c>
      <c r="M134">
        <v>60</v>
      </c>
      <c r="N134">
        <v>280</v>
      </c>
      <c r="Q134">
        <v>60</v>
      </c>
      <c r="R134">
        <v>144</v>
      </c>
      <c r="S134">
        <v>60</v>
      </c>
      <c r="T134">
        <v>144</v>
      </c>
    </row>
    <row r="135" spans="2:20" x14ac:dyDescent="0.45">
      <c r="B135" s="37">
        <v>133</v>
      </c>
      <c r="C135" t="s">
        <v>255</v>
      </c>
      <c r="D135" t="s">
        <v>256</v>
      </c>
      <c r="E135" t="s">
        <v>255</v>
      </c>
      <c r="F135" t="s">
        <v>256</v>
      </c>
      <c r="H135">
        <v>14</v>
      </c>
      <c r="I135">
        <v>17</v>
      </c>
      <c r="J135">
        <v>13</v>
      </c>
      <c r="K135">
        <v>10</v>
      </c>
      <c r="M135">
        <v>60</v>
      </c>
      <c r="N135">
        <v>144</v>
      </c>
      <c r="O135">
        <v>48</v>
      </c>
      <c r="P135">
        <v>240</v>
      </c>
      <c r="Q135">
        <v>60</v>
      </c>
      <c r="R135">
        <v>144</v>
      </c>
      <c r="S135">
        <v>48</v>
      </c>
      <c r="T135">
        <v>240</v>
      </c>
    </row>
    <row r="136" spans="2:20" x14ac:dyDescent="0.45">
      <c r="B136" s="37">
        <v>134</v>
      </c>
      <c r="C136" t="s">
        <v>255</v>
      </c>
      <c r="D136" t="s">
        <v>256</v>
      </c>
      <c r="E136" t="s">
        <v>255</v>
      </c>
      <c r="F136" t="s">
        <v>256</v>
      </c>
      <c r="H136">
        <v>14</v>
      </c>
      <c r="I136">
        <v>17</v>
      </c>
      <c r="J136">
        <v>13</v>
      </c>
      <c r="K136">
        <v>10</v>
      </c>
      <c r="M136">
        <v>60</v>
      </c>
      <c r="N136">
        <v>144</v>
      </c>
      <c r="O136">
        <v>48</v>
      </c>
      <c r="P136">
        <v>240</v>
      </c>
      <c r="Q136">
        <v>60</v>
      </c>
      <c r="R136">
        <v>144</v>
      </c>
      <c r="S136">
        <v>48</v>
      </c>
      <c r="T136">
        <v>240</v>
      </c>
    </row>
    <row r="137" spans="2:20" x14ac:dyDescent="0.45">
      <c r="B137" s="37">
        <v>135</v>
      </c>
      <c r="C137" t="s">
        <v>255</v>
      </c>
      <c r="D137" t="s">
        <v>256</v>
      </c>
      <c r="E137" t="s">
        <v>255</v>
      </c>
      <c r="F137" t="s">
        <v>256</v>
      </c>
      <c r="H137">
        <v>14</v>
      </c>
      <c r="I137">
        <v>17</v>
      </c>
      <c r="J137">
        <v>13</v>
      </c>
      <c r="K137">
        <v>10</v>
      </c>
      <c r="M137">
        <v>60</v>
      </c>
      <c r="N137">
        <v>144</v>
      </c>
      <c r="O137">
        <v>48</v>
      </c>
      <c r="P137">
        <v>240</v>
      </c>
      <c r="Q137">
        <v>60</v>
      </c>
      <c r="R137">
        <v>144</v>
      </c>
      <c r="S137">
        <v>48</v>
      </c>
      <c r="T137">
        <v>240</v>
      </c>
    </row>
    <row r="138" spans="2:20" x14ac:dyDescent="0.45">
      <c r="B138" s="37">
        <v>136</v>
      </c>
      <c r="C138" t="s">
        <v>255</v>
      </c>
      <c r="D138" t="s">
        <v>256</v>
      </c>
      <c r="E138" t="s">
        <v>255</v>
      </c>
      <c r="F138" t="s">
        <v>256</v>
      </c>
      <c r="H138">
        <v>14</v>
      </c>
      <c r="I138">
        <v>17</v>
      </c>
      <c r="J138">
        <v>13</v>
      </c>
      <c r="K138">
        <v>10</v>
      </c>
      <c r="M138">
        <v>60</v>
      </c>
      <c r="N138">
        <v>144</v>
      </c>
      <c r="O138">
        <v>48</v>
      </c>
      <c r="P138">
        <v>240</v>
      </c>
      <c r="Q138">
        <v>60</v>
      </c>
      <c r="R138">
        <v>144</v>
      </c>
      <c r="S138">
        <v>48</v>
      </c>
      <c r="T138">
        <v>240</v>
      </c>
    </row>
    <row r="139" spans="2:20" x14ac:dyDescent="0.45">
      <c r="B139" s="37">
        <v>137</v>
      </c>
      <c r="C139" t="s">
        <v>255</v>
      </c>
      <c r="D139" t="s">
        <v>256</v>
      </c>
      <c r="E139" t="s">
        <v>255</v>
      </c>
      <c r="F139" t="s">
        <v>256</v>
      </c>
      <c r="H139">
        <v>14</v>
      </c>
      <c r="I139">
        <v>17</v>
      </c>
      <c r="J139">
        <v>13</v>
      </c>
      <c r="K139">
        <v>10</v>
      </c>
      <c r="M139">
        <v>60</v>
      </c>
      <c r="N139">
        <v>144</v>
      </c>
      <c r="O139">
        <v>48</v>
      </c>
      <c r="P139">
        <v>240</v>
      </c>
      <c r="Q139">
        <v>60</v>
      </c>
      <c r="R139">
        <v>144</v>
      </c>
      <c r="S139">
        <v>48</v>
      </c>
      <c r="T139">
        <v>240</v>
      </c>
    </row>
    <row r="140" spans="2:20" x14ac:dyDescent="0.45">
      <c r="B140" s="37">
        <v>138</v>
      </c>
      <c r="C140" t="s">
        <v>255</v>
      </c>
      <c r="D140" t="s">
        <v>256</v>
      </c>
      <c r="E140" t="s">
        <v>255</v>
      </c>
      <c r="F140" t="s">
        <v>256</v>
      </c>
      <c r="H140">
        <v>14</v>
      </c>
      <c r="I140">
        <v>17</v>
      </c>
      <c r="J140">
        <v>13</v>
      </c>
      <c r="K140">
        <v>10</v>
      </c>
      <c r="M140">
        <v>60</v>
      </c>
      <c r="N140">
        <v>144</v>
      </c>
      <c r="O140">
        <v>48</v>
      </c>
      <c r="P140">
        <v>240</v>
      </c>
      <c r="Q140">
        <v>60</v>
      </c>
      <c r="R140">
        <v>144</v>
      </c>
      <c r="S140">
        <v>48</v>
      </c>
      <c r="T140">
        <v>240</v>
      </c>
    </row>
    <row r="141" spans="2:20" x14ac:dyDescent="0.45">
      <c r="B141" s="37">
        <v>139</v>
      </c>
      <c r="C141" t="s">
        <v>255</v>
      </c>
      <c r="D141" t="s">
        <v>256</v>
      </c>
      <c r="E141" t="s">
        <v>255</v>
      </c>
      <c r="F141" t="s">
        <v>256</v>
      </c>
      <c r="H141">
        <v>14</v>
      </c>
      <c r="I141">
        <v>17</v>
      </c>
      <c r="J141">
        <v>13</v>
      </c>
      <c r="K141">
        <v>10</v>
      </c>
      <c r="M141">
        <v>60</v>
      </c>
      <c r="N141">
        <v>144</v>
      </c>
      <c r="O141">
        <v>48</v>
      </c>
      <c r="P141">
        <v>240</v>
      </c>
      <c r="Q141">
        <v>60</v>
      </c>
      <c r="R141">
        <v>144</v>
      </c>
      <c r="S141">
        <v>48</v>
      </c>
      <c r="T141">
        <v>240</v>
      </c>
    </row>
    <row r="142" spans="2:20" x14ac:dyDescent="0.45">
      <c r="B142" s="37">
        <v>140</v>
      </c>
      <c r="C142" t="s">
        <v>255</v>
      </c>
      <c r="D142" t="s">
        <v>256</v>
      </c>
      <c r="E142" t="s">
        <v>255</v>
      </c>
      <c r="F142" t="s">
        <v>256</v>
      </c>
      <c r="H142">
        <v>14</v>
      </c>
      <c r="I142">
        <v>17</v>
      </c>
      <c r="J142">
        <v>13</v>
      </c>
      <c r="K142">
        <v>10</v>
      </c>
      <c r="M142">
        <v>60</v>
      </c>
      <c r="N142">
        <v>144</v>
      </c>
      <c r="O142">
        <v>48</v>
      </c>
      <c r="P142">
        <v>240</v>
      </c>
      <c r="Q142">
        <v>60</v>
      </c>
      <c r="R142">
        <v>144</v>
      </c>
      <c r="S142">
        <v>48</v>
      </c>
      <c r="T142">
        <v>240</v>
      </c>
    </row>
    <row r="143" spans="2:20" x14ac:dyDescent="0.45">
      <c r="B143" s="37">
        <v>141</v>
      </c>
      <c r="C143" t="s">
        <v>255</v>
      </c>
      <c r="D143" t="s">
        <v>256</v>
      </c>
      <c r="E143" t="s">
        <v>255</v>
      </c>
      <c r="F143" t="s">
        <v>256</v>
      </c>
      <c r="H143">
        <v>14</v>
      </c>
      <c r="I143">
        <v>17</v>
      </c>
      <c r="J143">
        <v>13</v>
      </c>
      <c r="K143">
        <v>10</v>
      </c>
      <c r="M143">
        <v>60</v>
      </c>
      <c r="N143">
        <v>144</v>
      </c>
      <c r="O143">
        <v>48</v>
      </c>
      <c r="P143">
        <v>240</v>
      </c>
      <c r="Q143">
        <v>60</v>
      </c>
      <c r="R143">
        <v>144</v>
      </c>
      <c r="S143">
        <v>48</v>
      </c>
      <c r="T143">
        <v>240</v>
      </c>
    </row>
    <row r="144" spans="2:20" x14ac:dyDescent="0.45">
      <c r="B144" s="37">
        <v>142</v>
      </c>
      <c r="C144" t="s">
        <v>255</v>
      </c>
      <c r="D144" t="s">
        <v>256</v>
      </c>
      <c r="E144" t="s">
        <v>255</v>
      </c>
      <c r="F144" t="s">
        <v>256</v>
      </c>
      <c r="H144">
        <v>14</v>
      </c>
      <c r="I144">
        <v>17</v>
      </c>
      <c r="J144">
        <v>13</v>
      </c>
      <c r="K144">
        <v>10</v>
      </c>
      <c r="M144">
        <v>60</v>
      </c>
      <c r="N144">
        <v>144</v>
      </c>
      <c r="O144">
        <v>48</v>
      </c>
      <c r="P144">
        <v>240</v>
      </c>
      <c r="Q144">
        <v>60</v>
      </c>
      <c r="R144">
        <v>144</v>
      </c>
      <c r="S144">
        <v>48</v>
      </c>
      <c r="T144">
        <v>240</v>
      </c>
    </row>
    <row r="145" spans="2:20" x14ac:dyDescent="0.45">
      <c r="B145" s="37">
        <v>143</v>
      </c>
      <c r="C145" t="s">
        <v>255</v>
      </c>
      <c r="D145" t="s">
        <v>256</v>
      </c>
      <c r="E145" t="s">
        <v>255</v>
      </c>
      <c r="F145" t="s">
        <v>256</v>
      </c>
      <c r="H145">
        <v>14</v>
      </c>
      <c r="I145">
        <v>17</v>
      </c>
      <c r="J145">
        <v>13</v>
      </c>
      <c r="K145">
        <v>10</v>
      </c>
      <c r="M145">
        <v>60</v>
      </c>
      <c r="N145">
        <v>144</v>
      </c>
      <c r="O145">
        <v>48</v>
      </c>
      <c r="P145">
        <v>240</v>
      </c>
      <c r="Q145">
        <v>60</v>
      </c>
      <c r="R145">
        <v>144</v>
      </c>
      <c r="S145">
        <v>48</v>
      </c>
      <c r="T145">
        <v>240</v>
      </c>
    </row>
    <row r="146" spans="2:20" x14ac:dyDescent="0.45">
      <c r="B146" s="37">
        <v>144</v>
      </c>
      <c r="C146" t="s">
        <v>255</v>
      </c>
      <c r="D146" t="s">
        <v>256</v>
      </c>
      <c r="E146" t="s">
        <v>255</v>
      </c>
      <c r="F146" t="s">
        <v>256</v>
      </c>
      <c r="H146">
        <v>14</v>
      </c>
      <c r="I146">
        <v>17</v>
      </c>
      <c r="J146">
        <v>13</v>
      </c>
      <c r="K146">
        <v>10</v>
      </c>
      <c r="M146">
        <v>60</v>
      </c>
      <c r="N146">
        <v>144</v>
      </c>
      <c r="O146">
        <v>48</v>
      </c>
      <c r="P146">
        <v>240</v>
      </c>
      <c r="Q146">
        <v>60</v>
      </c>
      <c r="R146">
        <v>144</v>
      </c>
      <c r="S146">
        <v>48</v>
      </c>
      <c r="T146">
        <v>240</v>
      </c>
    </row>
    <row r="147" spans="2:20" x14ac:dyDescent="0.45">
      <c r="B147" s="37">
        <v>145</v>
      </c>
      <c r="C147" t="s">
        <v>254</v>
      </c>
      <c r="D147" t="s">
        <v>257</v>
      </c>
      <c r="E147" t="s">
        <v>253</v>
      </c>
      <c r="F147" t="s">
        <v>253</v>
      </c>
      <c r="H147">
        <v>14</v>
      </c>
      <c r="I147">
        <v>17</v>
      </c>
      <c r="J147">
        <v>15</v>
      </c>
      <c r="K147">
        <v>12</v>
      </c>
      <c r="M147">
        <v>60</v>
      </c>
      <c r="N147">
        <v>280</v>
      </c>
      <c r="O147">
        <v>60</v>
      </c>
      <c r="P147">
        <v>165</v>
      </c>
      <c r="Q147">
        <v>60</v>
      </c>
      <c r="R147">
        <v>240</v>
      </c>
      <c r="S147">
        <v>60</v>
      </c>
      <c r="T147">
        <v>240</v>
      </c>
    </row>
    <row r="148" spans="2:20" x14ac:dyDescent="0.45">
      <c r="B148" s="37">
        <v>146</v>
      </c>
      <c r="C148" t="s">
        <v>254</v>
      </c>
      <c r="D148" t="s">
        <v>257</v>
      </c>
      <c r="E148" t="s">
        <v>253</v>
      </c>
      <c r="F148" t="s">
        <v>253</v>
      </c>
      <c r="H148">
        <v>14</v>
      </c>
      <c r="I148">
        <v>17</v>
      </c>
      <c r="J148">
        <v>15</v>
      </c>
      <c r="K148">
        <v>12</v>
      </c>
      <c r="M148">
        <v>60</v>
      </c>
      <c r="N148">
        <v>280</v>
      </c>
      <c r="O148">
        <v>60</v>
      </c>
      <c r="P148">
        <v>165</v>
      </c>
      <c r="Q148">
        <v>60</v>
      </c>
      <c r="R148">
        <v>240</v>
      </c>
      <c r="S148">
        <v>60</v>
      </c>
      <c r="T148">
        <v>240</v>
      </c>
    </row>
    <row r="149" spans="2:20" x14ac:dyDescent="0.45">
      <c r="B149" s="37">
        <v>147</v>
      </c>
      <c r="C149" t="s">
        <v>254</v>
      </c>
      <c r="D149" t="s">
        <v>257</v>
      </c>
      <c r="E149" t="s">
        <v>253</v>
      </c>
      <c r="F149" t="s">
        <v>253</v>
      </c>
      <c r="H149">
        <v>14</v>
      </c>
      <c r="I149">
        <v>17</v>
      </c>
      <c r="J149">
        <v>15</v>
      </c>
      <c r="K149">
        <v>12</v>
      </c>
      <c r="M149">
        <v>60</v>
      </c>
      <c r="N149">
        <v>280</v>
      </c>
      <c r="O149">
        <v>60</v>
      </c>
      <c r="P149">
        <v>165</v>
      </c>
      <c r="Q149">
        <v>60</v>
      </c>
      <c r="R149">
        <v>240</v>
      </c>
      <c r="S149">
        <v>60</v>
      </c>
      <c r="T149">
        <v>240</v>
      </c>
    </row>
    <row r="150" spans="2:20" x14ac:dyDescent="0.45">
      <c r="B150" s="37">
        <v>148</v>
      </c>
      <c r="C150" t="s">
        <v>254</v>
      </c>
      <c r="D150" t="s">
        <v>257</v>
      </c>
      <c r="E150" t="s">
        <v>253</v>
      </c>
      <c r="F150" t="s">
        <v>253</v>
      </c>
      <c r="H150">
        <v>14</v>
      </c>
      <c r="I150">
        <v>17</v>
      </c>
      <c r="J150">
        <v>15</v>
      </c>
      <c r="K150">
        <v>12</v>
      </c>
      <c r="M150">
        <v>60</v>
      </c>
      <c r="N150">
        <v>280</v>
      </c>
      <c r="O150">
        <v>60</v>
      </c>
      <c r="P150">
        <v>165</v>
      </c>
      <c r="Q150">
        <v>60</v>
      </c>
      <c r="R150">
        <v>240</v>
      </c>
      <c r="S150">
        <v>60</v>
      </c>
      <c r="T150">
        <v>240</v>
      </c>
    </row>
    <row r="151" spans="2:20" x14ac:dyDescent="0.45">
      <c r="B151" s="37">
        <v>149</v>
      </c>
      <c r="C151" t="s">
        <v>254</v>
      </c>
      <c r="D151" t="s">
        <v>257</v>
      </c>
      <c r="E151" t="s">
        <v>253</v>
      </c>
      <c r="F151" t="s">
        <v>253</v>
      </c>
      <c r="H151">
        <v>14</v>
      </c>
      <c r="I151">
        <v>17</v>
      </c>
      <c r="J151">
        <v>15</v>
      </c>
      <c r="K151">
        <v>12</v>
      </c>
      <c r="M151">
        <v>60</v>
      </c>
      <c r="N151">
        <v>280</v>
      </c>
      <c r="O151">
        <v>60</v>
      </c>
      <c r="P151">
        <v>165</v>
      </c>
      <c r="Q151">
        <v>60</v>
      </c>
      <c r="R151">
        <v>240</v>
      </c>
      <c r="S151">
        <v>60</v>
      </c>
      <c r="T151">
        <v>240</v>
      </c>
    </row>
    <row r="152" spans="2:20" x14ac:dyDescent="0.45">
      <c r="B152" s="37">
        <v>150</v>
      </c>
      <c r="C152" t="s">
        <v>254</v>
      </c>
      <c r="D152" t="s">
        <v>257</v>
      </c>
      <c r="E152" t="s">
        <v>253</v>
      </c>
      <c r="F152" t="s">
        <v>253</v>
      </c>
      <c r="H152">
        <v>14</v>
      </c>
      <c r="I152">
        <v>17</v>
      </c>
      <c r="J152">
        <v>15</v>
      </c>
      <c r="K152">
        <v>12</v>
      </c>
      <c r="M152">
        <v>60</v>
      </c>
      <c r="N152">
        <v>280</v>
      </c>
      <c r="O152">
        <v>60</v>
      </c>
      <c r="P152">
        <v>165</v>
      </c>
      <c r="Q152">
        <v>60</v>
      </c>
      <c r="R152">
        <v>240</v>
      </c>
      <c r="S152">
        <v>60</v>
      </c>
      <c r="T152">
        <v>240</v>
      </c>
    </row>
    <row r="153" spans="2:20" x14ac:dyDescent="0.45">
      <c r="B153" s="37">
        <v>151</v>
      </c>
      <c r="C153" t="s">
        <v>254</v>
      </c>
      <c r="D153" t="s">
        <v>257</v>
      </c>
      <c r="E153" t="s">
        <v>253</v>
      </c>
      <c r="F153" t="s">
        <v>253</v>
      </c>
      <c r="H153">
        <v>14</v>
      </c>
      <c r="I153">
        <v>17</v>
      </c>
      <c r="J153">
        <v>15</v>
      </c>
      <c r="K153">
        <v>12</v>
      </c>
      <c r="M153">
        <v>60</v>
      </c>
      <c r="N153">
        <v>280</v>
      </c>
      <c r="O153">
        <v>60</v>
      </c>
      <c r="P153">
        <v>165</v>
      </c>
      <c r="Q153">
        <v>60</v>
      </c>
      <c r="R153">
        <v>240</v>
      </c>
      <c r="S153">
        <v>60</v>
      </c>
      <c r="T153">
        <v>240</v>
      </c>
    </row>
    <row r="154" spans="2:20" x14ac:dyDescent="0.45">
      <c r="B154" s="37">
        <v>152</v>
      </c>
      <c r="C154" t="s">
        <v>254</v>
      </c>
      <c r="D154" t="s">
        <v>257</v>
      </c>
      <c r="E154" t="s">
        <v>253</v>
      </c>
      <c r="F154" t="s">
        <v>253</v>
      </c>
      <c r="H154">
        <v>14</v>
      </c>
      <c r="I154">
        <v>17</v>
      </c>
      <c r="J154">
        <v>15</v>
      </c>
      <c r="K154">
        <v>12</v>
      </c>
      <c r="M154">
        <v>60</v>
      </c>
      <c r="N154">
        <v>280</v>
      </c>
      <c r="O154">
        <v>60</v>
      </c>
      <c r="P154">
        <v>165</v>
      </c>
      <c r="Q154">
        <v>60</v>
      </c>
      <c r="R154">
        <v>240</v>
      </c>
      <c r="S154">
        <v>60</v>
      </c>
      <c r="T154">
        <v>240</v>
      </c>
    </row>
    <row r="155" spans="2:20" x14ac:dyDescent="0.45">
      <c r="B155" s="37">
        <v>153</v>
      </c>
      <c r="C155" t="s">
        <v>254</v>
      </c>
      <c r="D155" t="s">
        <v>257</v>
      </c>
      <c r="E155" t="s">
        <v>253</v>
      </c>
      <c r="F155" t="s">
        <v>253</v>
      </c>
      <c r="H155">
        <v>14</v>
      </c>
      <c r="I155">
        <v>17</v>
      </c>
      <c r="J155">
        <v>15</v>
      </c>
      <c r="K155">
        <v>12</v>
      </c>
      <c r="M155">
        <v>60</v>
      </c>
      <c r="N155">
        <v>280</v>
      </c>
      <c r="O155">
        <v>60</v>
      </c>
      <c r="P155">
        <v>165</v>
      </c>
      <c r="Q155">
        <v>60</v>
      </c>
      <c r="R155">
        <v>240</v>
      </c>
      <c r="S155">
        <v>60</v>
      </c>
      <c r="T155">
        <v>240</v>
      </c>
    </row>
    <row r="156" spans="2:20" x14ac:dyDescent="0.45">
      <c r="B156" s="37">
        <v>154</v>
      </c>
      <c r="C156" t="s">
        <v>254</v>
      </c>
      <c r="D156" t="s">
        <v>257</v>
      </c>
      <c r="E156" t="s">
        <v>253</v>
      </c>
      <c r="F156" t="s">
        <v>253</v>
      </c>
      <c r="H156">
        <v>14</v>
      </c>
      <c r="I156">
        <v>17</v>
      </c>
      <c r="J156">
        <v>15</v>
      </c>
      <c r="K156">
        <v>12</v>
      </c>
      <c r="M156">
        <v>60</v>
      </c>
      <c r="N156">
        <v>280</v>
      </c>
      <c r="O156">
        <v>60</v>
      </c>
      <c r="P156">
        <v>165</v>
      </c>
      <c r="Q156">
        <v>60</v>
      </c>
      <c r="R156">
        <v>240</v>
      </c>
      <c r="S156">
        <v>60</v>
      </c>
      <c r="T156">
        <v>240</v>
      </c>
    </row>
    <row r="157" spans="2:20" x14ac:dyDescent="0.45">
      <c r="B157" s="37">
        <v>155</v>
      </c>
      <c r="C157" t="s">
        <v>254</v>
      </c>
      <c r="D157" t="s">
        <v>257</v>
      </c>
      <c r="E157" t="s">
        <v>253</v>
      </c>
      <c r="F157" t="s">
        <v>253</v>
      </c>
      <c r="H157">
        <v>14</v>
      </c>
      <c r="I157">
        <v>17</v>
      </c>
      <c r="J157">
        <v>15</v>
      </c>
      <c r="K157">
        <v>12</v>
      </c>
      <c r="M157">
        <v>60</v>
      </c>
      <c r="N157">
        <v>280</v>
      </c>
      <c r="O157">
        <v>60</v>
      </c>
      <c r="P157">
        <v>165</v>
      </c>
      <c r="Q157">
        <v>60</v>
      </c>
      <c r="R157">
        <v>240</v>
      </c>
      <c r="S157">
        <v>60</v>
      </c>
      <c r="T157">
        <v>240</v>
      </c>
    </row>
    <row r="158" spans="2:20" x14ac:dyDescent="0.45">
      <c r="B158" s="37">
        <v>156</v>
      </c>
      <c r="C158" t="s">
        <v>254</v>
      </c>
      <c r="D158" t="s">
        <v>257</v>
      </c>
      <c r="E158" t="s">
        <v>253</v>
      </c>
      <c r="F158" t="s">
        <v>253</v>
      </c>
      <c r="H158">
        <v>14</v>
      </c>
      <c r="I158">
        <v>17</v>
      </c>
      <c r="J158">
        <v>15</v>
      </c>
      <c r="K158">
        <v>12</v>
      </c>
      <c r="M158">
        <v>60</v>
      </c>
      <c r="N158">
        <v>280</v>
      </c>
      <c r="O158">
        <v>60</v>
      </c>
      <c r="P158">
        <v>165</v>
      </c>
      <c r="Q158">
        <v>60</v>
      </c>
      <c r="R158">
        <v>240</v>
      </c>
      <c r="S158">
        <v>60</v>
      </c>
      <c r="T158">
        <v>240</v>
      </c>
    </row>
    <row r="159" spans="2:20" x14ac:dyDescent="0.45">
      <c r="B159" s="37">
        <v>157</v>
      </c>
      <c r="C159" t="s">
        <v>254</v>
      </c>
      <c r="D159" t="s">
        <v>258</v>
      </c>
      <c r="E159" t="s">
        <v>253</v>
      </c>
      <c r="F159" t="s">
        <v>253</v>
      </c>
      <c r="H159">
        <v>14</v>
      </c>
      <c r="I159">
        <v>17</v>
      </c>
      <c r="J159">
        <v>15</v>
      </c>
      <c r="K159">
        <v>12</v>
      </c>
      <c r="M159">
        <v>60</v>
      </c>
      <c r="N159">
        <v>280</v>
      </c>
      <c r="O159">
        <v>60</v>
      </c>
      <c r="P159">
        <v>175</v>
      </c>
      <c r="Q159">
        <v>60</v>
      </c>
      <c r="R159">
        <v>240</v>
      </c>
      <c r="S159">
        <v>60</v>
      </c>
      <c r="T159">
        <v>240</v>
      </c>
    </row>
    <row r="160" spans="2:20" x14ac:dyDescent="0.45">
      <c r="B160" s="37">
        <v>158</v>
      </c>
      <c r="C160" t="s">
        <v>254</v>
      </c>
      <c r="D160" t="s">
        <v>258</v>
      </c>
      <c r="E160" t="s">
        <v>253</v>
      </c>
      <c r="F160" t="s">
        <v>253</v>
      </c>
      <c r="H160">
        <v>14</v>
      </c>
      <c r="I160">
        <v>17</v>
      </c>
      <c r="J160">
        <v>15</v>
      </c>
      <c r="K160">
        <v>12</v>
      </c>
      <c r="M160">
        <v>60</v>
      </c>
      <c r="N160">
        <v>280</v>
      </c>
      <c r="O160">
        <v>60</v>
      </c>
      <c r="P160">
        <v>175</v>
      </c>
      <c r="Q160">
        <v>60</v>
      </c>
      <c r="R160">
        <v>240</v>
      </c>
      <c r="S160">
        <v>60</v>
      </c>
      <c r="T160">
        <v>240</v>
      </c>
    </row>
    <row r="161" spans="2:20" x14ac:dyDescent="0.45">
      <c r="B161" s="37">
        <v>159</v>
      </c>
      <c r="C161" t="s">
        <v>254</v>
      </c>
      <c r="D161" t="s">
        <v>258</v>
      </c>
      <c r="E161" t="s">
        <v>253</v>
      </c>
      <c r="F161" t="s">
        <v>253</v>
      </c>
      <c r="H161">
        <v>14</v>
      </c>
      <c r="I161">
        <v>17</v>
      </c>
      <c r="J161">
        <v>15</v>
      </c>
      <c r="K161">
        <v>12</v>
      </c>
      <c r="M161">
        <v>60</v>
      </c>
      <c r="N161">
        <v>280</v>
      </c>
      <c r="O161">
        <v>60</v>
      </c>
      <c r="P161">
        <v>175</v>
      </c>
      <c r="Q161">
        <v>60</v>
      </c>
      <c r="R161">
        <v>240</v>
      </c>
      <c r="S161">
        <v>60</v>
      </c>
      <c r="T161">
        <v>240</v>
      </c>
    </row>
    <row r="162" spans="2:20" x14ac:dyDescent="0.45">
      <c r="B162" s="37">
        <v>160</v>
      </c>
      <c r="C162" t="s">
        <v>254</v>
      </c>
      <c r="D162" t="s">
        <v>258</v>
      </c>
      <c r="E162" t="s">
        <v>253</v>
      </c>
      <c r="F162" t="s">
        <v>253</v>
      </c>
      <c r="H162">
        <v>14</v>
      </c>
      <c r="I162">
        <v>17</v>
      </c>
      <c r="J162">
        <v>15</v>
      </c>
      <c r="K162">
        <v>12</v>
      </c>
      <c r="M162">
        <v>60</v>
      </c>
      <c r="N162">
        <v>280</v>
      </c>
      <c r="O162">
        <v>60</v>
      </c>
      <c r="P162">
        <v>175</v>
      </c>
      <c r="Q162">
        <v>60</v>
      </c>
      <c r="R162">
        <v>240</v>
      </c>
      <c r="S162">
        <v>60</v>
      </c>
      <c r="T162">
        <v>240</v>
      </c>
    </row>
    <row r="163" spans="2:20" x14ac:dyDescent="0.45">
      <c r="B163" s="37">
        <v>161</v>
      </c>
      <c r="C163" t="s">
        <v>254</v>
      </c>
      <c r="D163" t="s">
        <v>258</v>
      </c>
      <c r="E163" t="s">
        <v>253</v>
      </c>
      <c r="F163" t="s">
        <v>253</v>
      </c>
      <c r="H163">
        <v>14</v>
      </c>
      <c r="I163">
        <v>17</v>
      </c>
      <c r="J163">
        <v>15</v>
      </c>
      <c r="K163">
        <v>12</v>
      </c>
      <c r="M163">
        <v>60</v>
      </c>
      <c r="N163">
        <v>280</v>
      </c>
      <c r="O163">
        <v>60</v>
      </c>
      <c r="P163">
        <v>175</v>
      </c>
      <c r="Q163">
        <v>60</v>
      </c>
      <c r="R163">
        <v>240</v>
      </c>
      <c r="S163">
        <v>60</v>
      </c>
      <c r="T163">
        <v>240</v>
      </c>
    </row>
    <row r="164" spans="2:20" x14ac:dyDescent="0.45">
      <c r="B164" s="37">
        <v>162</v>
      </c>
      <c r="C164" t="s">
        <v>254</v>
      </c>
      <c r="D164" t="s">
        <v>258</v>
      </c>
      <c r="E164" t="s">
        <v>253</v>
      </c>
      <c r="F164" t="s">
        <v>253</v>
      </c>
      <c r="H164">
        <v>14</v>
      </c>
      <c r="I164">
        <v>17</v>
      </c>
      <c r="J164">
        <v>15</v>
      </c>
      <c r="K164">
        <v>12</v>
      </c>
      <c r="M164">
        <v>60</v>
      </c>
      <c r="N164">
        <v>280</v>
      </c>
      <c r="O164">
        <v>60</v>
      </c>
      <c r="P164">
        <v>175</v>
      </c>
      <c r="Q164">
        <v>60</v>
      </c>
      <c r="R164">
        <v>240</v>
      </c>
      <c r="S164">
        <v>60</v>
      </c>
      <c r="T164">
        <v>240</v>
      </c>
    </row>
    <row r="165" spans="2:20" x14ac:dyDescent="0.45">
      <c r="B165" s="37">
        <v>163</v>
      </c>
      <c r="C165" t="s">
        <v>254</v>
      </c>
      <c r="D165" t="s">
        <v>258</v>
      </c>
      <c r="E165" t="s">
        <v>253</v>
      </c>
      <c r="F165" t="s">
        <v>253</v>
      </c>
      <c r="H165">
        <v>14</v>
      </c>
      <c r="I165">
        <v>17</v>
      </c>
      <c r="J165">
        <v>15</v>
      </c>
      <c r="K165">
        <v>12</v>
      </c>
      <c r="M165">
        <v>60</v>
      </c>
      <c r="N165">
        <v>280</v>
      </c>
      <c r="O165">
        <v>60</v>
      </c>
      <c r="P165">
        <v>175</v>
      </c>
      <c r="Q165">
        <v>60</v>
      </c>
      <c r="R165">
        <v>240</v>
      </c>
      <c r="S165">
        <v>60</v>
      </c>
      <c r="T165">
        <v>240</v>
      </c>
    </row>
    <row r="166" spans="2:20" x14ac:dyDescent="0.45">
      <c r="B166" s="37">
        <v>164</v>
      </c>
      <c r="C166" t="s">
        <v>254</v>
      </c>
      <c r="D166" t="s">
        <v>258</v>
      </c>
      <c r="E166" t="s">
        <v>253</v>
      </c>
      <c r="F166" t="s">
        <v>253</v>
      </c>
      <c r="H166">
        <v>14</v>
      </c>
      <c r="I166">
        <v>17</v>
      </c>
      <c r="J166">
        <v>15</v>
      </c>
      <c r="K166">
        <v>12</v>
      </c>
      <c r="M166">
        <v>60</v>
      </c>
      <c r="N166">
        <v>280</v>
      </c>
      <c r="O166">
        <v>60</v>
      </c>
      <c r="P166">
        <v>175</v>
      </c>
      <c r="Q166">
        <v>60</v>
      </c>
      <c r="R166">
        <v>240</v>
      </c>
      <c r="S166">
        <v>60</v>
      </c>
      <c r="T166">
        <v>240</v>
      </c>
    </row>
    <row r="167" spans="2:20" x14ac:dyDescent="0.45">
      <c r="B167" s="37">
        <v>165</v>
      </c>
      <c r="C167" t="s">
        <v>254</v>
      </c>
      <c r="D167" t="s">
        <v>258</v>
      </c>
      <c r="E167" t="s">
        <v>253</v>
      </c>
      <c r="F167" t="s">
        <v>253</v>
      </c>
      <c r="H167">
        <v>14</v>
      </c>
      <c r="I167">
        <v>17</v>
      </c>
      <c r="J167">
        <v>15</v>
      </c>
      <c r="K167">
        <v>12</v>
      </c>
      <c r="M167">
        <v>60</v>
      </c>
      <c r="N167">
        <v>280</v>
      </c>
      <c r="O167">
        <v>60</v>
      </c>
      <c r="P167">
        <v>175</v>
      </c>
      <c r="Q167">
        <v>60</v>
      </c>
      <c r="R167">
        <v>240</v>
      </c>
      <c r="S167">
        <v>60</v>
      </c>
      <c r="T167">
        <v>240</v>
      </c>
    </row>
    <row r="168" spans="2:20" x14ac:dyDescent="0.45">
      <c r="B168" s="37">
        <v>166</v>
      </c>
      <c r="C168" t="s">
        <v>254</v>
      </c>
      <c r="D168" t="s">
        <v>258</v>
      </c>
      <c r="E168" t="s">
        <v>253</v>
      </c>
      <c r="F168" t="s">
        <v>253</v>
      </c>
      <c r="H168">
        <v>14</v>
      </c>
      <c r="I168">
        <v>17</v>
      </c>
      <c r="J168">
        <v>15</v>
      </c>
      <c r="K168">
        <v>12</v>
      </c>
      <c r="M168">
        <v>60</v>
      </c>
      <c r="N168">
        <v>280</v>
      </c>
      <c r="O168">
        <v>60</v>
      </c>
      <c r="P168">
        <v>175</v>
      </c>
      <c r="Q168">
        <v>60</v>
      </c>
      <c r="R168">
        <v>240</v>
      </c>
      <c r="S168">
        <v>60</v>
      </c>
      <c r="T168">
        <v>240</v>
      </c>
    </row>
    <row r="169" spans="2:20" x14ac:dyDescent="0.45">
      <c r="B169" s="37">
        <v>167</v>
      </c>
      <c r="C169" t="s">
        <v>254</v>
      </c>
      <c r="D169" t="s">
        <v>258</v>
      </c>
      <c r="E169" t="s">
        <v>253</v>
      </c>
      <c r="F169" t="s">
        <v>253</v>
      </c>
      <c r="H169">
        <v>14</v>
      </c>
      <c r="I169">
        <v>17</v>
      </c>
      <c r="J169">
        <v>15</v>
      </c>
      <c r="K169">
        <v>12</v>
      </c>
      <c r="M169">
        <v>60</v>
      </c>
      <c r="N169">
        <v>280</v>
      </c>
      <c r="O169">
        <v>60</v>
      </c>
      <c r="P169">
        <v>175</v>
      </c>
      <c r="Q169">
        <v>60</v>
      </c>
      <c r="R169">
        <v>240</v>
      </c>
      <c r="S169">
        <v>60</v>
      </c>
      <c r="T169">
        <v>240</v>
      </c>
    </row>
    <row r="170" spans="2:20" x14ac:dyDescent="0.45">
      <c r="B170" s="37">
        <v>168</v>
      </c>
      <c r="C170" t="s">
        <v>254</v>
      </c>
      <c r="D170" t="s">
        <v>258</v>
      </c>
      <c r="E170" t="s">
        <v>253</v>
      </c>
      <c r="F170" t="s">
        <v>253</v>
      </c>
      <c r="H170">
        <v>14</v>
      </c>
      <c r="I170">
        <v>17</v>
      </c>
      <c r="J170">
        <v>15</v>
      </c>
      <c r="K170">
        <v>12</v>
      </c>
      <c r="M170">
        <v>60</v>
      </c>
      <c r="N170">
        <v>280</v>
      </c>
      <c r="O170">
        <v>60</v>
      </c>
      <c r="P170">
        <v>175</v>
      </c>
      <c r="Q170">
        <v>60</v>
      </c>
      <c r="R170">
        <v>240</v>
      </c>
      <c r="S170">
        <v>60</v>
      </c>
      <c r="T170">
        <v>240</v>
      </c>
    </row>
    <row r="171" spans="2:20" x14ac:dyDescent="0.45">
      <c r="B171" s="37">
        <v>169</v>
      </c>
      <c r="C171" t="s">
        <v>259</v>
      </c>
      <c r="D171" t="s">
        <v>259</v>
      </c>
      <c r="E171" t="s">
        <v>253</v>
      </c>
      <c r="F171" t="s">
        <v>253</v>
      </c>
      <c r="H171">
        <v>14</v>
      </c>
      <c r="I171">
        <v>17</v>
      </c>
      <c r="J171">
        <v>15</v>
      </c>
      <c r="K171">
        <v>13</v>
      </c>
      <c r="M171">
        <v>60</v>
      </c>
      <c r="N171">
        <v>255</v>
      </c>
      <c r="O171">
        <v>60</v>
      </c>
      <c r="P171">
        <v>255</v>
      </c>
      <c r="Q171">
        <v>60</v>
      </c>
      <c r="R171">
        <v>240</v>
      </c>
      <c r="S171">
        <v>60</v>
      </c>
      <c r="T171">
        <v>240</v>
      </c>
    </row>
    <row r="172" spans="2:20" x14ac:dyDescent="0.45">
      <c r="B172" s="37">
        <v>170</v>
      </c>
      <c r="C172" t="s">
        <v>259</v>
      </c>
      <c r="D172" t="s">
        <v>259</v>
      </c>
      <c r="E172" t="s">
        <v>253</v>
      </c>
      <c r="F172" t="s">
        <v>253</v>
      </c>
      <c r="H172">
        <v>14</v>
      </c>
      <c r="I172">
        <v>17</v>
      </c>
      <c r="J172">
        <v>15</v>
      </c>
      <c r="K172">
        <v>13</v>
      </c>
      <c r="M172">
        <v>60</v>
      </c>
      <c r="N172">
        <v>255</v>
      </c>
      <c r="O172">
        <v>60</v>
      </c>
      <c r="P172">
        <v>255</v>
      </c>
      <c r="Q172">
        <v>60</v>
      </c>
      <c r="R172">
        <v>240</v>
      </c>
      <c r="S172">
        <v>60</v>
      </c>
      <c r="T172">
        <v>240</v>
      </c>
    </row>
    <row r="173" spans="2:20" x14ac:dyDescent="0.45">
      <c r="B173" s="37">
        <v>171</v>
      </c>
      <c r="C173" t="s">
        <v>259</v>
      </c>
      <c r="D173" t="s">
        <v>259</v>
      </c>
      <c r="E173" t="s">
        <v>253</v>
      </c>
      <c r="F173" t="s">
        <v>253</v>
      </c>
      <c r="H173">
        <v>14</v>
      </c>
      <c r="I173">
        <v>17</v>
      </c>
      <c r="J173">
        <v>15</v>
      </c>
      <c r="K173">
        <v>13</v>
      </c>
      <c r="M173">
        <v>60</v>
      </c>
      <c r="N173">
        <v>255</v>
      </c>
      <c r="O173">
        <v>60</v>
      </c>
      <c r="P173">
        <v>255</v>
      </c>
      <c r="Q173">
        <v>60</v>
      </c>
      <c r="R173">
        <v>240</v>
      </c>
      <c r="S173">
        <v>60</v>
      </c>
      <c r="T173">
        <v>240</v>
      </c>
    </row>
    <row r="174" spans="2:20" x14ac:dyDescent="0.45">
      <c r="B174" s="37">
        <v>172</v>
      </c>
      <c r="C174" t="s">
        <v>259</v>
      </c>
      <c r="D174" t="s">
        <v>259</v>
      </c>
      <c r="E174" t="s">
        <v>253</v>
      </c>
      <c r="F174" t="s">
        <v>253</v>
      </c>
      <c r="H174">
        <v>14</v>
      </c>
      <c r="I174">
        <v>17</v>
      </c>
      <c r="J174">
        <v>15</v>
      </c>
      <c r="K174">
        <v>13</v>
      </c>
      <c r="M174">
        <v>60</v>
      </c>
      <c r="N174">
        <v>255</v>
      </c>
      <c r="O174">
        <v>60</v>
      </c>
      <c r="P174">
        <v>255</v>
      </c>
      <c r="Q174">
        <v>60</v>
      </c>
      <c r="R174">
        <v>240</v>
      </c>
      <c r="S174">
        <v>60</v>
      </c>
      <c r="T174">
        <v>240</v>
      </c>
    </row>
    <row r="175" spans="2:20" x14ac:dyDescent="0.45">
      <c r="B175" s="37">
        <v>173</v>
      </c>
      <c r="C175" t="s">
        <v>259</v>
      </c>
      <c r="D175" t="s">
        <v>259</v>
      </c>
      <c r="E175" t="s">
        <v>253</v>
      </c>
      <c r="F175" t="s">
        <v>253</v>
      </c>
      <c r="H175">
        <v>14</v>
      </c>
      <c r="I175">
        <v>17</v>
      </c>
      <c r="J175">
        <v>15</v>
      </c>
      <c r="K175">
        <v>13</v>
      </c>
      <c r="M175">
        <v>60</v>
      </c>
      <c r="N175">
        <v>255</v>
      </c>
      <c r="O175">
        <v>60</v>
      </c>
      <c r="P175">
        <v>255</v>
      </c>
      <c r="Q175">
        <v>60</v>
      </c>
      <c r="R175">
        <v>240</v>
      </c>
      <c r="S175">
        <v>60</v>
      </c>
      <c r="T175">
        <v>240</v>
      </c>
    </row>
    <row r="176" spans="2:20" x14ac:dyDescent="0.45">
      <c r="B176" s="37">
        <v>174</v>
      </c>
      <c r="C176" t="s">
        <v>259</v>
      </c>
      <c r="D176" t="s">
        <v>259</v>
      </c>
      <c r="E176" t="s">
        <v>253</v>
      </c>
      <c r="F176" t="s">
        <v>253</v>
      </c>
      <c r="H176">
        <v>14</v>
      </c>
      <c r="I176">
        <v>17</v>
      </c>
      <c r="J176">
        <v>15</v>
      </c>
      <c r="K176">
        <v>13</v>
      </c>
      <c r="M176">
        <v>60</v>
      </c>
      <c r="N176">
        <v>255</v>
      </c>
      <c r="O176">
        <v>60</v>
      </c>
      <c r="P176">
        <v>255</v>
      </c>
      <c r="Q176">
        <v>60</v>
      </c>
      <c r="R176">
        <v>240</v>
      </c>
      <c r="S176">
        <v>60</v>
      </c>
      <c r="T176">
        <v>240</v>
      </c>
    </row>
    <row r="177" spans="2:20" x14ac:dyDescent="0.45">
      <c r="B177" s="37">
        <v>175</v>
      </c>
      <c r="C177" t="s">
        <v>259</v>
      </c>
      <c r="D177" t="s">
        <v>259</v>
      </c>
      <c r="E177" t="s">
        <v>253</v>
      </c>
      <c r="F177" t="s">
        <v>253</v>
      </c>
      <c r="H177">
        <v>14</v>
      </c>
      <c r="I177">
        <v>17</v>
      </c>
      <c r="J177">
        <v>15</v>
      </c>
      <c r="K177">
        <v>13</v>
      </c>
      <c r="M177">
        <v>60</v>
      </c>
      <c r="N177">
        <v>255</v>
      </c>
      <c r="O177">
        <v>60</v>
      </c>
      <c r="P177">
        <v>255</v>
      </c>
      <c r="Q177">
        <v>60</v>
      </c>
      <c r="R177">
        <v>240</v>
      </c>
      <c r="S177">
        <v>60</v>
      </c>
      <c r="T177">
        <v>240</v>
      </c>
    </row>
    <row r="178" spans="2:20" x14ac:dyDescent="0.45">
      <c r="B178" s="37">
        <v>176</v>
      </c>
      <c r="C178" t="s">
        <v>259</v>
      </c>
      <c r="D178" t="s">
        <v>259</v>
      </c>
      <c r="E178" t="s">
        <v>253</v>
      </c>
      <c r="F178" t="s">
        <v>253</v>
      </c>
      <c r="H178">
        <v>14</v>
      </c>
      <c r="I178">
        <v>17</v>
      </c>
      <c r="J178">
        <v>15</v>
      </c>
      <c r="K178">
        <v>13</v>
      </c>
      <c r="M178">
        <v>60</v>
      </c>
      <c r="N178">
        <v>255</v>
      </c>
      <c r="O178">
        <v>60</v>
      </c>
      <c r="P178">
        <v>255</v>
      </c>
      <c r="Q178">
        <v>60</v>
      </c>
      <c r="R178">
        <v>240</v>
      </c>
      <c r="S178">
        <v>60</v>
      </c>
      <c r="T178">
        <v>240</v>
      </c>
    </row>
    <row r="179" spans="2:20" x14ac:dyDescent="0.45">
      <c r="B179" s="37">
        <v>177</v>
      </c>
      <c r="C179" t="s">
        <v>259</v>
      </c>
      <c r="D179" t="s">
        <v>259</v>
      </c>
      <c r="E179" t="s">
        <v>253</v>
      </c>
      <c r="F179" t="s">
        <v>253</v>
      </c>
      <c r="H179">
        <v>14</v>
      </c>
      <c r="I179">
        <v>17</v>
      </c>
      <c r="J179">
        <v>15</v>
      </c>
      <c r="K179">
        <v>13</v>
      </c>
      <c r="M179">
        <v>60</v>
      </c>
      <c r="N179">
        <v>255</v>
      </c>
      <c r="O179">
        <v>60</v>
      </c>
      <c r="P179">
        <v>255</v>
      </c>
      <c r="Q179">
        <v>60</v>
      </c>
      <c r="R179">
        <v>240</v>
      </c>
      <c r="S179">
        <v>60</v>
      </c>
      <c r="T179">
        <v>240</v>
      </c>
    </row>
    <row r="180" spans="2:20" x14ac:dyDescent="0.45">
      <c r="B180" s="37">
        <v>178</v>
      </c>
      <c r="C180" t="s">
        <v>259</v>
      </c>
      <c r="D180" t="s">
        <v>259</v>
      </c>
      <c r="E180" t="s">
        <v>253</v>
      </c>
      <c r="F180" t="s">
        <v>253</v>
      </c>
      <c r="H180">
        <v>14</v>
      </c>
      <c r="I180">
        <v>17</v>
      </c>
      <c r="J180">
        <v>15</v>
      </c>
      <c r="K180">
        <v>13</v>
      </c>
      <c r="M180">
        <v>60</v>
      </c>
      <c r="N180">
        <v>255</v>
      </c>
      <c r="O180">
        <v>60</v>
      </c>
      <c r="P180">
        <v>255</v>
      </c>
      <c r="Q180">
        <v>60</v>
      </c>
      <c r="R180">
        <v>240</v>
      </c>
      <c r="S180">
        <v>60</v>
      </c>
      <c r="T180">
        <v>240</v>
      </c>
    </row>
    <row r="181" spans="2:20" x14ac:dyDescent="0.45">
      <c r="B181" s="37">
        <v>179</v>
      </c>
      <c r="C181" t="s">
        <v>259</v>
      </c>
      <c r="D181" t="s">
        <v>259</v>
      </c>
      <c r="E181" t="s">
        <v>253</v>
      </c>
      <c r="F181" t="s">
        <v>253</v>
      </c>
      <c r="H181">
        <v>14</v>
      </c>
      <c r="I181">
        <v>17</v>
      </c>
      <c r="J181">
        <v>15</v>
      </c>
      <c r="K181">
        <v>13</v>
      </c>
      <c r="M181">
        <v>60</v>
      </c>
      <c r="N181">
        <v>255</v>
      </c>
      <c r="O181">
        <v>60</v>
      </c>
      <c r="P181">
        <v>255</v>
      </c>
      <c r="Q181">
        <v>60</v>
      </c>
      <c r="R181">
        <v>240</v>
      </c>
      <c r="S181">
        <v>60</v>
      </c>
      <c r="T181">
        <v>240</v>
      </c>
    </row>
    <row r="182" spans="2:20" x14ac:dyDescent="0.45">
      <c r="B182" s="37">
        <v>180</v>
      </c>
      <c r="C182" t="s">
        <v>259</v>
      </c>
      <c r="D182" t="s">
        <v>259</v>
      </c>
      <c r="E182" t="s">
        <v>253</v>
      </c>
      <c r="F182" t="s">
        <v>253</v>
      </c>
      <c r="H182">
        <v>14</v>
      </c>
      <c r="I182">
        <v>17</v>
      </c>
      <c r="J182">
        <v>15</v>
      </c>
      <c r="K182">
        <v>13</v>
      </c>
      <c r="M182">
        <v>60</v>
      </c>
      <c r="N182">
        <v>255</v>
      </c>
      <c r="O182">
        <v>60</v>
      </c>
      <c r="P182">
        <v>255</v>
      </c>
      <c r="Q182">
        <v>60</v>
      </c>
      <c r="R182">
        <v>240</v>
      </c>
      <c r="S182">
        <v>60</v>
      </c>
      <c r="T182">
        <v>240</v>
      </c>
    </row>
    <row r="183" spans="2:20" x14ac:dyDescent="0.45">
      <c r="B183" s="37">
        <v>181</v>
      </c>
      <c r="C183" t="s">
        <v>260</v>
      </c>
      <c r="D183" t="s">
        <v>260</v>
      </c>
      <c r="E183" t="s">
        <v>260</v>
      </c>
      <c r="F183" t="s">
        <v>260</v>
      </c>
      <c r="H183">
        <v>14</v>
      </c>
      <c r="I183">
        <v>17</v>
      </c>
      <c r="J183">
        <v>15</v>
      </c>
      <c r="K183">
        <v>13</v>
      </c>
      <c r="M183">
        <v>72</v>
      </c>
      <c r="N183">
        <v>240</v>
      </c>
      <c r="O183">
        <v>72</v>
      </c>
      <c r="P183">
        <v>240</v>
      </c>
      <c r="Q183">
        <v>72</v>
      </c>
      <c r="R183">
        <v>240</v>
      </c>
      <c r="S183">
        <v>72</v>
      </c>
      <c r="T183">
        <v>240</v>
      </c>
    </row>
    <row r="184" spans="2:20" x14ac:dyDescent="0.45">
      <c r="B184" s="37">
        <v>182</v>
      </c>
      <c r="C184" t="s">
        <v>260</v>
      </c>
      <c r="D184" t="s">
        <v>260</v>
      </c>
      <c r="E184" t="s">
        <v>260</v>
      </c>
      <c r="F184" t="s">
        <v>260</v>
      </c>
      <c r="H184">
        <v>14</v>
      </c>
      <c r="I184">
        <v>17</v>
      </c>
      <c r="J184">
        <v>15</v>
      </c>
      <c r="K184">
        <v>13</v>
      </c>
      <c r="M184">
        <v>72</v>
      </c>
      <c r="N184">
        <v>240</v>
      </c>
      <c r="O184">
        <v>72</v>
      </c>
      <c r="P184">
        <v>240</v>
      </c>
      <c r="Q184">
        <v>72</v>
      </c>
      <c r="R184">
        <v>240</v>
      </c>
      <c r="S184">
        <v>72</v>
      </c>
      <c r="T184">
        <v>240</v>
      </c>
    </row>
    <row r="185" spans="2:20" x14ac:dyDescent="0.45">
      <c r="B185" s="37">
        <v>183</v>
      </c>
      <c r="C185" t="s">
        <v>260</v>
      </c>
      <c r="D185" t="s">
        <v>260</v>
      </c>
      <c r="E185" t="s">
        <v>260</v>
      </c>
      <c r="F185" t="s">
        <v>260</v>
      </c>
      <c r="H185">
        <v>14</v>
      </c>
      <c r="I185">
        <v>17</v>
      </c>
      <c r="J185">
        <v>15</v>
      </c>
      <c r="K185">
        <v>13</v>
      </c>
      <c r="M185">
        <v>72</v>
      </c>
      <c r="N185">
        <v>240</v>
      </c>
      <c r="O185">
        <v>72</v>
      </c>
      <c r="P185">
        <v>240</v>
      </c>
      <c r="Q185">
        <v>72</v>
      </c>
      <c r="R185">
        <v>240</v>
      </c>
      <c r="S185">
        <v>72</v>
      </c>
      <c r="T185">
        <v>240</v>
      </c>
    </row>
    <row r="186" spans="2:20" x14ac:dyDescent="0.45">
      <c r="B186" s="37">
        <v>184</v>
      </c>
      <c r="C186" t="s">
        <v>260</v>
      </c>
      <c r="D186" t="s">
        <v>260</v>
      </c>
      <c r="E186" t="s">
        <v>260</v>
      </c>
      <c r="F186" t="s">
        <v>260</v>
      </c>
      <c r="H186">
        <v>14</v>
      </c>
      <c r="I186">
        <v>17</v>
      </c>
      <c r="J186">
        <v>15</v>
      </c>
      <c r="K186">
        <v>13</v>
      </c>
      <c r="M186">
        <v>72</v>
      </c>
      <c r="N186">
        <v>240</v>
      </c>
      <c r="O186">
        <v>72</v>
      </c>
      <c r="P186">
        <v>240</v>
      </c>
      <c r="Q186">
        <v>72</v>
      </c>
      <c r="R186">
        <v>240</v>
      </c>
      <c r="S186">
        <v>72</v>
      </c>
      <c r="T186">
        <v>240</v>
      </c>
    </row>
    <row r="187" spans="2:20" x14ac:dyDescent="0.45">
      <c r="B187" s="37">
        <v>185</v>
      </c>
      <c r="C187" t="s">
        <v>260</v>
      </c>
      <c r="D187" t="s">
        <v>260</v>
      </c>
      <c r="E187" t="s">
        <v>260</v>
      </c>
      <c r="F187" t="s">
        <v>260</v>
      </c>
      <c r="H187">
        <v>14</v>
      </c>
      <c r="I187">
        <v>17</v>
      </c>
      <c r="J187">
        <v>15</v>
      </c>
      <c r="K187">
        <v>13</v>
      </c>
      <c r="M187">
        <v>72</v>
      </c>
      <c r="N187">
        <v>240</v>
      </c>
      <c r="O187">
        <v>72</v>
      </c>
      <c r="P187">
        <v>240</v>
      </c>
      <c r="Q187">
        <v>72</v>
      </c>
      <c r="R187">
        <v>240</v>
      </c>
      <c r="S187">
        <v>72</v>
      </c>
      <c r="T187">
        <v>240</v>
      </c>
    </row>
    <row r="188" spans="2:20" x14ac:dyDescent="0.45">
      <c r="B188" s="37">
        <v>186</v>
      </c>
      <c r="C188" t="s">
        <v>260</v>
      </c>
      <c r="D188" t="s">
        <v>260</v>
      </c>
      <c r="E188" t="s">
        <v>260</v>
      </c>
      <c r="F188" t="s">
        <v>260</v>
      </c>
      <c r="H188">
        <v>14</v>
      </c>
      <c r="I188">
        <v>17</v>
      </c>
      <c r="J188">
        <v>15</v>
      </c>
      <c r="K188">
        <v>13</v>
      </c>
      <c r="M188">
        <v>72</v>
      </c>
      <c r="N188">
        <v>240</v>
      </c>
      <c r="O188">
        <v>72</v>
      </c>
      <c r="P188">
        <v>240</v>
      </c>
      <c r="Q188">
        <v>72</v>
      </c>
      <c r="R188">
        <v>240</v>
      </c>
      <c r="S188">
        <v>72</v>
      </c>
      <c r="T188">
        <v>240</v>
      </c>
    </row>
    <row r="189" spans="2:20" x14ac:dyDescent="0.45">
      <c r="B189" s="37">
        <v>187</v>
      </c>
      <c r="C189" t="s">
        <v>260</v>
      </c>
      <c r="D189" t="s">
        <v>260</v>
      </c>
      <c r="E189" t="s">
        <v>260</v>
      </c>
      <c r="F189" t="s">
        <v>260</v>
      </c>
      <c r="H189">
        <v>14</v>
      </c>
      <c r="I189">
        <v>17</v>
      </c>
      <c r="J189">
        <v>15</v>
      </c>
      <c r="K189">
        <v>13</v>
      </c>
      <c r="M189">
        <v>72</v>
      </c>
      <c r="N189">
        <v>240</v>
      </c>
      <c r="O189">
        <v>72</v>
      </c>
      <c r="P189">
        <v>240</v>
      </c>
      <c r="Q189">
        <v>72</v>
      </c>
      <c r="R189">
        <v>240</v>
      </c>
      <c r="S189">
        <v>72</v>
      </c>
      <c r="T189">
        <v>240</v>
      </c>
    </row>
    <row r="190" spans="2:20" x14ac:dyDescent="0.45">
      <c r="B190" s="37">
        <v>188</v>
      </c>
      <c r="C190" t="s">
        <v>260</v>
      </c>
      <c r="D190" t="s">
        <v>260</v>
      </c>
      <c r="E190" t="s">
        <v>260</v>
      </c>
      <c r="F190" t="s">
        <v>260</v>
      </c>
      <c r="H190">
        <v>14</v>
      </c>
      <c r="I190">
        <v>17</v>
      </c>
      <c r="J190">
        <v>15</v>
      </c>
      <c r="K190">
        <v>13</v>
      </c>
      <c r="M190">
        <v>72</v>
      </c>
      <c r="N190">
        <v>240</v>
      </c>
      <c r="O190">
        <v>72</v>
      </c>
      <c r="P190">
        <v>240</v>
      </c>
      <c r="Q190">
        <v>72</v>
      </c>
      <c r="R190">
        <v>240</v>
      </c>
      <c r="S190">
        <v>72</v>
      </c>
      <c r="T190">
        <v>240</v>
      </c>
    </row>
    <row r="191" spans="2:20" x14ac:dyDescent="0.45">
      <c r="B191" s="37">
        <v>189</v>
      </c>
      <c r="C191" t="s">
        <v>260</v>
      </c>
      <c r="D191" t="s">
        <v>260</v>
      </c>
      <c r="E191" t="s">
        <v>260</v>
      </c>
      <c r="F191" t="s">
        <v>260</v>
      </c>
      <c r="H191">
        <v>14</v>
      </c>
      <c r="I191">
        <v>17</v>
      </c>
      <c r="J191">
        <v>15</v>
      </c>
      <c r="K191">
        <v>13</v>
      </c>
      <c r="M191">
        <v>72</v>
      </c>
      <c r="N191">
        <v>240</v>
      </c>
      <c r="O191">
        <v>72</v>
      </c>
      <c r="P191">
        <v>240</v>
      </c>
      <c r="Q191">
        <v>72</v>
      </c>
      <c r="R191">
        <v>240</v>
      </c>
      <c r="S191">
        <v>72</v>
      </c>
      <c r="T191">
        <v>240</v>
      </c>
    </row>
    <row r="192" spans="2:20" x14ac:dyDescent="0.45">
      <c r="B192" s="37">
        <v>190</v>
      </c>
      <c r="C192" t="s">
        <v>260</v>
      </c>
      <c r="D192" t="s">
        <v>260</v>
      </c>
      <c r="E192" t="s">
        <v>260</v>
      </c>
      <c r="F192" t="s">
        <v>260</v>
      </c>
      <c r="H192">
        <v>14</v>
      </c>
      <c r="I192">
        <v>17</v>
      </c>
      <c r="J192">
        <v>15</v>
      </c>
      <c r="K192">
        <v>13</v>
      </c>
      <c r="M192">
        <v>72</v>
      </c>
      <c r="N192">
        <v>240</v>
      </c>
      <c r="O192">
        <v>72</v>
      </c>
      <c r="P192">
        <v>240</v>
      </c>
      <c r="Q192">
        <v>72</v>
      </c>
      <c r="R192">
        <v>240</v>
      </c>
      <c r="S192">
        <v>72</v>
      </c>
      <c r="T192">
        <v>240</v>
      </c>
    </row>
    <row r="193" spans="2:20" x14ac:dyDescent="0.45">
      <c r="B193" s="37">
        <v>191</v>
      </c>
      <c r="C193" t="s">
        <v>260</v>
      </c>
      <c r="D193" t="s">
        <v>260</v>
      </c>
      <c r="E193" t="s">
        <v>260</v>
      </c>
      <c r="F193" t="s">
        <v>260</v>
      </c>
      <c r="H193">
        <v>14</v>
      </c>
      <c r="I193">
        <v>17</v>
      </c>
      <c r="J193">
        <v>15</v>
      </c>
      <c r="K193">
        <v>13</v>
      </c>
      <c r="M193">
        <v>72</v>
      </c>
      <c r="N193">
        <v>240</v>
      </c>
      <c r="O193">
        <v>72</v>
      </c>
      <c r="P193">
        <v>240</v>
      </c>
      <c r="Q193">
        <v>72</v>
      </c>
      <c r="R193">
        <v>240</v>
      </c>
      <c r="S193">
        <v>72</v>
      </c>
      <c r="T193">
        <v>240</v>
      </c>
    </row>
    <row r="194" spans="2:20" x14ac:dyDescent="0.45">
      <c r="B194" s="37">
        <v>192</v>
      </c>
      <c r="C194" t="s">
        <v>260</v>
      </c>
      <c r="D194" t="s">
        <v>260</v>
      </c>
      <c r="E194" t="s">
        <v>260</v>
      </c>
      <c r="F194" t="s">
        <v>260</v>
      </c>
      <c r="H194">
        <v>14</v>
      </c>
      <c r="I194">
        <v>17</v>
      </c>
      <c r="J194">
        <v>15</v>
      </c>
      <c r="K194">
        <v>13</v>
      </c>
      <c r="M194">
        <v>72</v>
      </c>
      <c r="N194">
        <v>240</v>
      </c>
      <c r="O194">
        <v>72</v>
      </c>
      <c r="P194">
        <v>240</v>
      </c>
      <c r="Q194">
        <v>72</v>
      </c>
      <c r="R194">
        <v>240</v>
      </c>
      <c r="S194">
        <v>72</v>
      </c>
      <c r="T194">
        <v>240</v>
      </c>
    </row>
    <row r="195" spans="2:20" x14ac:dyDescent="0.45">
      <c r="B195" s="37">
        <v>193</v>
      </c>
      <c r="C195" t="s">
        <v>260</v>
      </c>
      <c r="D195" t="s">
        <v>260</v>
      </c>
      <c r="E195" t="s">
        <v>260</v>
      </c>
      <c r="F195" t="s">
        <v>260</v>
      </c>
      <c r="H195">
        <v>14</v>
      </c>
      <c r="I195">
        <v>17</v>
      </c>
      <c r="J195">
        <v>15</v>
      </c>
      <c r="K195">
        <v>13</v>
      </c>
      <c r="M195">
        <v>72</v>
      </c>
      <c r="N195">
        <v>240</v>
      </c>
      <c r="O195">
        <v>72</v>
      </c>
      <c r="P195">
        <v>240</v>
      </c>
      <c r="Q195">
        <v>72</v>
      </c>
      <c r="R195">
        <v>240</v>
      </c>
      <c r="S195">
        <v>72</v>
      </c>
      <c r="T195">
        <v>240</v>
      </c>
    </row>
    <row r="196" spans="2:20" x14ac:dyDescent="0.45">
      <c r="B196" s="37">
        <v>194</v>
      </c>
      <c r="C196" t="s">
        <v>260</v>
      </c>
      <c r="D196" t="s">
        <v>260</v>
      </c>
      <c r="E196" t="s">
        <v>260</v>
      </c>
      <c r="F196" t="s">
        <v>260</v>
      </c>
      <c r="H196">
        <v>14</v>
      </c>
      <c r="I196">
        <v>17</v>
      </c>
      <c r="J196">
        <v>15</v>
      </c>
      <c r="K196">
        <v>13</v>
      </c>
      <c r="M196">
        <v>72</v>
      </c>
      <c r="N196">
        <v>240</v>
      </c>
      <c r="O196">
        <v>72</v>
      </c>
      <c r="P196">
        <v>240</v>
      </c>
      <c r="Q196">
        <v>72</v>
      </c>
      <c r="R196">
        <v>240</v>
      </c>
      <c r="S196">
        <v>72</v>
      </c>
      <c r="T196">
        <v>240</v>
      </c>
    </row>
    <row r="197" spans="2:20" x14ac:dyDescent="0.45">
      <c r="B197" s="37">
        <v>195</v>
      </c>
      <c r="C197" t="s">
        <v>260</v>
      </c>
      <c r="D197" t="s">
        <v>260</v>
      </c>
      <c r="E197" t="s">
        <v>260</v>
      </c>
      <c r="F197" t="s">
        <v>260</v>
      </c>
      <c r="H197">
        <v>14</v>
      </c>
      <c r="I197">
        <v>17</v>
      </c>
      <c r="J197">
        <v>15</v>
      </c>
      <c r="K197">
        <v>13</v>
      </c>
      <c r="M197">
        <v>72</v>
      </c>
      <c r="N197">
        <v>240</v>
      </c>
      <c r="O197">
        <v>72</v>
      </c>
      <c r="P197">
        <v>240</v>
      </c>
      <c r="Q197">
        <v>72</v>
      </c>
      <c r="R197">
        <v>240</v>
      </c>
      <c r="S197">
        <v>72</v>
      </c>
      <c r="T197">
        <v>240</v>
      </c>
    </row>
    <row r="198" spans="2:20" x14ac:dyDescent="0.45">
      <c r="B198" s="37">
        <v>196</v>
      </c>
      <c r="C198" t="s">
        <v>260</v>
      </c>
      <c r="D198" t="s">
        <v>260</v>
      </c>
      <c r="E198" t="s">
        <v>260</v>
      </c>
      <c r="F198" t="s">
        <v>260</v>
      </c>
      <c r="H198">
        <v>14</v>
      </c>
      <c r="I198">
        <v>17</v>
      </c>
      <c r="J198">
        <v>15</v>
      </c>
      <c r="K198">
        <v>13</v>
      </c>
      <c r="M198">
        <v>72</v>
      </c>
      <c r="N198">
        <v>240</v>
      </c>
      <c r="O198">
        <v>72</v>
      </c>
      <c r="P198">
        <v>240</v>
      </c>
      <c r="Q198">
        <v>72</v>
      </c>
      <c r="R198">
        <v>240</v>
      </c>
      <c r="S198">
        <v>72</v>
      </c>
      <c r="T198">
        <v>240</v>
      </c>
    </row>
    <row r="199" spans="2:20" x14ac:dyDescent="0.45">
      <c r="B199" s="37">
        <v>197</v>
      </c>
      <c r="C199" t="s">
        <v>260</v>
      </c>
      <c r="D199" t="s">
        <v>260</v>
      </c>
      <c r="E199" t="s">
        <v>260</v>
      </c>
      <c r="F199" t="s">
        <v>260</v>
      </c>
      <c r="H199">
        <v>14</v>
      </c>
      <c r="I199">
        <v>17</v>
      </c>
      <c r="J199">
        <v>15</v>
      </c>
      <c r="K199">
        <v>13</v>
      </c>
      <c r="M199">
        <v>72</v>
      </c>
      <c r="N199">
        <v>240</v>
      </c>
      <c r="O199">
        <v>72</v>
      </c>
      <c r="P199">
        <v>240</v>
      </c>
      <c r="Q199">
        <v>72</v>
      </c>
      <c r="R199">
        <v>240</v>
      </c>
      <c r="S199">
        <v>72</v>
      </c>
      <c r="T199">
        <v>240</v>
      </c>
    </row>
    <row r="200" spans="2:20" x14ac:dyDescent="0.45">
      <c r="B200" s="37">
        <v>198</v>
      </c>
      <c r="C200" t="s">
        <v>260</v>
      </c>
      <c r="D200" t="s">
        <v>260</v>
      </c>
      <c r="E200" t="s">
        <v>260</v>
      </c>
      <c r="F200" t="s">
        <v>260</v>
      </c>
      <c r="H200">
        <v>14</v>
      </c>
      <c r="I200">
        <v>17</v>
      </c>
      <c r="J200">
        <v>15</v>
      </c>
      <c r="K200">
        <v>13</v>
      </c>
      <c r="M200">
        <v>72</v>
      </c>
      <c r="N200">
        <v>240</v>
      </c>
      <c r="O200">
        <v>72</v>
      </c>
      <c r="P200">
        <v>240</v>
      </c>
      <c r="Q200">
        <v>72</v>
      </c>
      <c r="R200">
        <v>240</v>
      </c>
      <c r="S200">
        <v>72</v>
      </c>
      <c r="T200">
        <v>240</v>
      </c>
    </row>
    <row r="201" spans="2:20" x14ac:dyDescent="0.45">
      <c r="B201" s="37">
        <v>199</v>
      </c>
      <c r="C201" t="s">
        <v>260</v>
      </c>
      <c r="D201" t="s">
        <v>260</v>
      </c>
      <c r="E201" t="s">
        <v>260</v>
      </c>
      <c r="F201" t="s">
        <v>260</v>
      </c>
      <c r="H201">
        <v>14</v>
      </c>
      <c r="I201">
        <v>17</v>
      </c>
      <c r="J201">
        <v>15</v>
      </c>
      <c r="K201">
        <v>13</v>
      </c>
      <c r="M201">
        <v>72</v>
      </c>
      <c r="N201">
        <v>240</v>
      </c>
      <c r="O201">
        <v>72</v>
      </c>
      <c r="P201">
        <v>240</v>
      </c>
      <c r="Q201">
        <v>72</v>
      </c>
      <c r="R201">
        <v>240</v>
      </c>
      <c r="S201">
        <v>72</v>
      </c>
      <c r="T201">
        <v>240</v>
      </c>
    </row>
    <row r="202" spans="2:20" x14ac:dyDescent="0.45">
      <c r="B202" s="37">
        <v>200</v>
      </c>
      <c r="C202" t="s">
        <v>260</v>
      </c>
      <c r="D202" t="s">
        <v>260</v>
      </c>
      <c r="E202" t="s">
        <v>260</v>
      </c>
      <c r="F202" t="s">
        <v>260</v>
      </c>
      <c r="H202">
        <v>14</v>
      </c>
      <c r="I202">
        <v>17</v>
      </c>
      <c r="J202">
        <v>15</v>
      </c>
      <c r="K202">
        <v>13</v>
      </c>
      <c r="M202">
        <v>72</v>
      </c>
      <c r="N202">
        <v>240</v>
      </c>
      <c r="O202">
        <v>72</v>
      </c>
      <c r="P202">
        <v>240</v>
      </c>
      <c r="Q202">
        <v>72</v>
      </c>
      <c r="R202">
        <v>240</v>
      </c>
      <c r="S202">
        <v>72</v>
      </c>
      <c r="T202">
        <v>240</v>
      </c>
    </row>
    <row r="203" spans="2:20" x14ac:dyDescent="0.45">
      <c r="B203" s="37">
        <v>201</v>
      </c>
      <c r="C203" t="s">
        <v>260</v>
      </c>
      <c r="D203" t="s">
        <v>260</v>
      </c>
      <c r="E203" t="s">
        <v>260</v>
      </c>
      <c r="F203" t="s">
        <v>260</v>
      </c>
      <c r="H203">
        <v>14</v>
      </c>
      <c r="I203">
        <v>17</v>
      </c>
      <c r="J203">
        <v>15</v>
      </c>
      <c r="K203">
        <v>13</v>
      </c>
      <c r="M203">
        <v>72</v>
      </c>
      <c r="N203">
        <v>240</v>
      </c>
      <c r="O203">
        <v>72</v>
      </c>
      <c r="P203">
        <v>240</v>
      </c>
      <c r="Q203">
        <v>72</v>
      </c>
      <c r="R203">
        <v>240</v>
      </c>
      <c r="S203">
        <v>72</v>
      </c>
      <c r="T203">
        <v>240</v>
      </c>
    </row>
    <row r="204" spans="2:20" x14ac:dyDescent="0.45">
      <c r="B204" s="37">
        <v>202</v>
      </c>
      <c r="C204" t="s">
        <v>260</v>
      </c>
      <c r="D204" t="s">
        <v>260</v>
      </c>
      <c r="E204" t="s">
        <v>260</v>
      </c>
      <c r="F204" t="s">
        <v>260</v>
      </c>
      <c r="H204">
        <v>14</v>
      </c>
      <c r="I204">
        <v>17</v>
      </c>
      <c r="J204">
        <v>15</v>
      </c>
      <c r="K204">
        <v>13</v>
      </c>
      <c r="M204">
        <v>72</v>
      </c>
      <c r="N204">
        <v>240</v>
      </c>
      <c r="O204">
        <v>72</v>
      </c>
      <c r="P204">
        <v>240</v>
      </c>
      <c r="Q204">
        <v>72</v>
      </c>
      <c r="R204">
        <v>240</v>
      </c>
      <c r="S204">
        <v>72</v>
      </c>
      <c r="T204">
        <v>240</v>
      </c>
    </row>
    <row r="205" spans="2:20" x14ac:dyDescent="0.45">
      <c r="B205" s="37">
        <v>203</v>
      </c>
      <c r="C205" t="s">
        <v>260</v>
      </c>
      <c r="D205" t="s">
        <v>260</v>
      </c>
      <c r="E205" t="s">
        <v>260</v>
      </c>
      <c r="F205" t="s">
        <v>260</v>
      </c>
      <c r="H205">
        <v>14</v>
      </c>
      <c r="I205">
        <v>17</v>
      </c>
      <c r="J205">
        <v>15</v>
      </c>
      <c r="K205">
        <v>13</v>
      </c>
      <c r="M205">
        <v>72</v>
      </c>
      <c r="N205">
        <v>240</v>
      </c>
      <c r="O205">
        <v>72</v>
      </c>
      <c r="P205">
        <v>240</v>
      </c>
      <c r="Q205">
        <v>72</v>
      </c>
      <c r="R205">
        <v>240</v>
      </c>
      <c r="S205">
        <v>72</v>
      </c>
      <c r="T205">
        <v>240</v>
      </c>
    </row>
    <row r="206" spans="2:20" x14ac:dyDescent="0.45">
      <c r="B206" s="37">
        <v>204</v>
      </c>
      <c r="C206" t="s">
        <v>260</v>
      </c>
      <c r="D206" t="s">
        <v>260</v>
      </c>
      <c r="E206" t="s">
        <v>260</v>
      </c>
      <c r="F206" t="s">
        <v>260</v>
      </c>
      <c r="H206">
        <v>14</v>
      </c>
      <c r="I206">
        <v>17</v>
      </c>
      <c r="J206">
        <v>15</v>
      </c>
      <c r="K206">
        <v>13</v>
      </c>
      <c r="M206">
        <v>72</v>
      </c>
      <c r="N206">
        <v>240</v>
      </c>
      <c r="O206">
        <v>72</v>
      </c>
      <c r="P206">
        <v>240</v>
      </c>
      <c r="Q206">
        <v>72</v>
      </c>
      <c r="R206">
        <v>240</v>
      </c>
      <c r="S206">
        <v>72</v>
      </c>
      <c r="T206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05A7-2A76-4159-8CEC-5DE66B948F5D}">
  <sheetPr codeName="Sheet4"/>
  <dimension ref="A1:AU30"/>
  <sheetViews>
    <sheetView topLeftCell="U1" workbookViewId="0">
      <selection activeCell="AE5" sqref="AE5"/>
    </sheetView>
  </sheetViews>
  <sheetFormatPr defaultRowHeight="14.25" x14ac:dyDescent="0.45"/>
  <cols>
    <col min="1" max="1" width="22.59765625" customWidth="1"/>
    <col min="4" max="4" width="12.3984375" bestFit="1" customWidth="1"/>
    <col min="9" max="9" width="11.265625" bestFit="1" customWidth="1"/>
    <col min="16" max="16" width="13.59765625" bestFit="1" customWidth="1"/>
    <col min="23" max="23" width="14.265625" bestFit="1" customWidth="1"/>
    <col min="30" max="30" width="14.86328125" bestFit="1" customWidth="1"/>
  </cols>
  <sheetData>
    <row r="1" spans="1:47" x14ac:dyDescent="0.45">
      <c r="A1" s="1" t="s">
        <v>1</v>
      </c>
      <c r="B1" s="30" t="s">
        <v>41</v>
      </c>
      <c r="C1" s="31" t="s">
        <v>39</v>
      </c>
      <c r="D1" s="30" t="s">
        <v>42</v>
      </c>
      <c r="E1" t="s">
        <v>51</v>
      </c>
      <c r="F1" t="s">
        <v>70</v>
      </c>
      <c r="G1" t="s">
        <v>72</v>
      </c>
      <c r="H1">
        <v>4</v>
      </c>
      <c r="I1" s="36">
        <v>0.5</v>
      </c>
      <c r="J1" t="s">
        <v>381</v>
      </c>
      <c r="K1" t="s">
        <v>3</v>
      </c>
      <c r="L1">
        <v>20</v>
      </c>
      <c r="M1" cm="1">
        <f t="array" ref="M1">IF(MAIN!G4="sa36",n/a,48)</f>
        <v>48</v>
      </c>
      <c r="O1" t="s">
        <v>224</v>
      </c>
      <c r="P1" t="s">
        <v>269</v>
      </c>
      <c r="Q1">
        <v>2</v>
      </c>
      <c r="R1">
        <v>1</v>
      </c>
    </row>
    <row r="2" spans="1:47" x14ac:dyDescent="0.45">
      <c r="A2" s="1" t="s">
        <v>2</v>
      </c>
      <c r="B2" s="30" t="s">
        <v>40</v>
      </c>
      <c r="C2" t="s">
        <v>38</v>
      </c>
      <c r="D2" s="30" t="s">
        <v>43</v>
      </c>
      <c r="E2" t="s">
        <v>52</v>
      </c>
      <c r="F2" t="s">
        <v>71</v>
      </c>
      <c r="G2" t="s">
        <v>73</v>
      </c>
      <c r="H2">
        <v>6</v>
      </c>
      <c r="I2">
        <v>1</v>
      </c>
      <c r="J2" t="s">
        <v>382</v>
      </c>
      <c r="K2" t="s">
        <v>72</v>
      </c>
      <c r="L2">
        <v>24</v>
      </c>
      <c r="M2" cm="1">
        <f t="array" ref="M2">IF(MAIN!G4="sa36",n/a,60)</f>
        <v>60</v>
      </c>
      <c r="N2">
        <v>0.1875</v>
      </c>
      <c r="O2" t="s">
        <v>225</v>
      </c>
      <c r="P2" t="s">
        <v>270</v>
      </c>
      <c r="Q2">
        <v>3</v>
      </c>
    </row>
    <row r="3" spans="1:47" x14ac:dyDescent="0.45">
      <c r="A3" s="1" t="s">
        <v>3</v>
      </c>
      <c r="B3" s="30"/>
      <c r="C3" t="s">
        <v>100</v>
      </c>
      <c r="D3" s="30"/>
      <c r="H3">
        <v>8</v>
      </c>
      <c r="I3">
        <v>1.5</v>
      </c>
      <c r="K3" t="s">
        <v>73</v>
      </c>
      <c r="L3">
        <v>30</v>
      </c>
      <c r="M3">
        <v>72</v>
      </c>
      <c r="N3">
        <v>0.25</v>
      </c>
      <c r="O3" t="s">
        <v>226</v>
      </c>
      <c r="P3" t="s">
        <v>271</v>
      </c>
      <c r="Q3">
        <v>4</v>
      </c>
    </row>
    <row r="4" spans="1:47" x14ac:dyDescent="0.45">
      <c r="A4" s="1" t="s">
        <v>4</v>
      </c>
      <c r="H4">
        <v>10</v>
      </c>
      <c r="I4">
        <v>2</v>
      </c>
      <c r="M4">
        <v>96</v>
      </c>
      <c r="N4">
        <v>0.3125</v>
      </c>
      <c r="P4" t="s">
        <v>272</v>
      </c>
      <c r="X4" t="s">
        <v>233</v>
      </c>
      <c r="Y4" t="s">
        <v>234</v>
      </c>
      <c r="AD4" t="s">
        <v>290</v>
      </c>
      <c r="AP4" t="s">
        <v>235</v>
      </c>
      <c r="AQ4">
        <v>48</v>
      </c>
      <c r="AR4">
        <v>60</v>
      </c>
      <c r="AS4">
        <v>72</v>
      </c>
      <c r="AT4">
        <v>96</v>
      </c>
      <c r="AU4">
        <v>120</v>
      </c>
    </row>
    <row r="5" spans="1:47" x14ac:dyDescent="0.45">
      <c r="A5" s="1"/>
      <c r="H5">
        <v>12</v>
      </c>
      <c r="I5">
        <v>3</v>
      </c>
      <c r="M5">
        <v>120</v>
      </c>
      <c r="N5">
        <v>0.375</v>
      </c>
      <c r="P5" t="s">
        <v>273</v>
      </c>
      <c r="W5" t="s">
        <v>235</v>
      </c>
      <c r="X5" t="s">
        <v>236</v>
      </c>
      <c r="Y5" t="s">
        <v>236</v>
      </c>
      <c r="AD5" t="s">
        <v>291</v>
      </c>
      <c r="AE5" t="e">
        <f>VLOOKUP(MAIN!$M5,IF(MAIN!$G$4="SA36",SHELLS!$Q$2:$W$602,SHELLS!$C$2:$M$602),2,FALSE)</f>
        <v>#N/A</v>
      </c>
      <c r="AF5" t="e">
        <f>VLOOKUP(MAIN!$M5,IF(MAIN!$G$4="SA36",SHELLS!$Q$2:$W$602,SHELLS!$C$2:$M$602),3,FALSE)</f>
        <v>#N/A</v>
      </c>
      <c r="AG5" t="e">
        <f>VLOOKUP(MAIN!$M5,IF(MAIN!$G$4="SA36",SHELLS!$Q$2:$W$602,SHELLS!$C$2:$M$602),4,FALSE)</f>
        <v>#N/A</v>
      </c>
      <c r="AH5" t="e">
        <f>VLOOKUP(MAIN!$M5,IF(MAIN!$G$4="SA36",SHELLS!$Q$2:$W$602,SHELLS!$C$2:$M$602),5,FALSE)</f>
        <v>#N/A</v>
      </c>
      <c r="AI5" t="e">
        <f>VLOOKUP(MAIN!$M5,IF(MAIN!$G$4="SA36",SHELLS!$Q$2:$W$602,SHELLS!$C$2:$M$602),6,FALSE)</f>
        <v>#N/A</v>
      </c>
      <c r="AJ5" t="e">
        <f>VLOOKUP(MAIN!$M5,IF(MAIN!$G$4="SA36",SHELLS!$Q$2:$W$602,SHELLS!$C$2:$M$602),7,FALSE)</f>
        <v>#N/A</v>
      </c>
      <c r="AK5" t="e">
        <f>VLOOKUP(MAIN!$M5,IF(MAIN!$G$4="SA36",SHELLS!$Q$2:$W$602,SHELLS!$C$2:$M$602),8,FALSE)</f>
        <v>#N/A</v>
      </c>
      <c r="AL5" t="e">
        <f>VLOOKUP(MAIN!$M5,IF(MAIN!$G$4="SA36",SHELLS!$Q$2:$W$602,SHELLS!$C$2:$M$602),9,FALSE)</f>
        <v>#N/A</v>
      </c>
      <c r="AM5" t="e">
        <f>VLOOKUP(MAIN!$M5,IF(MAIN!$G$4="SA36",SHELLS!$Q$2:$W$602,SHELLS!$C$2:$M$602),10,FALSE)</f>
        <v>#N/A</v>
      </c>
      <c r="AN5" t="e">
        <f>VLOOKUP(MAIN!$M5,IF(MAIN!$G$4="SA36",SHELLS!$Q$2:$W$602,SHELLS!$C$2:$M$602),11,FALSE)</f>
        <v>#N/A</v>
      </c>
      <c r="AP5" s="36">
        <f>MAIN!O5</f>
        <v>0</v>
      </c>
      <c r="AQ5">
        <f>COUNTIF($AE5:$AN5,48)</f>
        <v>0</v>
      </c>
      <c r="AR5">
        <f>COUNTIF($AE5:$AN5,60)</f>
        <v>0</v>
      </c>
      <c r="AS5">
        <f>COUNTIF($AE5:$AN5,72)</f>
        <v>0</v>
      </c>
      <c r="AT5">
        <f>COUNTIF($AE5:$AN5,96)</f>
        <v>0</v>
      </c>
      <c r="AU5">
        <f>COUNTIF($AE5:$AN5,120)</f>
        <v>0</v>
      </c>
    </row>
    <row r="6" spans="1:47" x14ac:dyDescent="0.45">
      <c r="I6">
        <v>4</v>
      </c>
      <c r="N6">
        <v>0.5</v>
      </c>
      <c r="P6" t="s">
        <v>274</v>
      </c>
      <c r="W6" s="36">
        <v>0.1875</v>
      </c>
      <c r="X6">
        <v>8.58</v>
      </c>
      <c r="Y6">
        <v>7.66</v>
      </c>
      <c r="AD6" t="s">
        <v>292</v>
      </c>
      <c r="AE6" t="e">
        <f>VLOOKUP(MAIN!$M6,IF(MAIN!$G$4="SA36",SHELLS!$Q$2:$W$602,SHELLS!$C$2:$M$602),2,FALSE)</f>
        <v>#N/A</v>
      </c>
      <c r="AF6" t="e">
        <f>VLOOKUP(MAIN!$M6,IF(MAIN!$G$4="SA36",SHELLS!$Q$2:$W$602,SHELLS!$C$2:$M$602),3,FALSE)</f>
        <v>#N/A</v>
      </c>
      <c r="AG6" t="e">
        <f>VLOOKUP(MAIN!$M6,IF(MAIN!$G$4="SA36",SHELLS!$Q$2:$W$602,SHELLS!$C$2:$M$602),4,FALSE)</f>
        <v>#N/A</v>
      </c>
      <c r="AH6" t="e">
        <f>VLOOKUP(MAIN!$M6,IF(MAIN!$G$4="SA36",SHELLS!$Q$2:$W$602,SHELLS!$C$2:$M$602),5,FALSE)</f>
        <v>#N/A</v>
      </c>
      <c r="AI6" t="e">
        <f>VLOOKUP(MAIN!$M6,IF(MAIN!$G$4="SA36",SHELLS!$Q$2:$W$602,SHELLS!$C$2:$M$602),6,FALSE)</f>
        <v>#N/A</v>
      </c>
      <c r="AJ6" t="e">
        <f>VLOOKUP(MAIN!$M6,IF(MAIN!$G$4="SA36",SHELLS!$Q$2:$W$602,SHELLS!$C$2:$M$602),7,FALSE)</f>
        <v>#N/A</v>
      </c>
      <c r="AK6" t="e">
        <f>VLOOKUP(MAIN!$M6,IF(MAIN!$G$4="SA36",SHELLS!$Q$2:$W$602,SHELLS!$C$2:$M$602),8,FALSE)</f>
        <v>#N/A</v>
      </c>
      <c r="AL6" t="e">
        <f>VLOOKUP(MAIN!$M6,IF(MAIN!$G$4="SA36",SHELLS!$Q$2:$W$602,SHELLS!$C$2:$M$602),9,FALSE)</f>
        <v>#N/A</v>
      </c>
      <c r="AM6" t="e">
        <f>VLOOKUP(MAIN!$M6,IF(MAIN!$G$4="SA36",SHELLS!$Q$2:$W$602,SHELLS!$C$2:$M$602),10,FALSE)</f>
        <v>#N/A</v>
      </c>
      <c r="AN6" t="e">
        <f>VLOOKUP(MAIN!$M6,IF(MAIN!$G$4="SA36",SHELLS!$Q$2:$W$602,SHELLS!$C$2:$M$602),11,FALSE)</f>
        <v>#N/A</v>
      </c>
      <c r="AP6" s="36">
        <f>MAIN!O6</f>
        <v>0</v>
      </c>
      <c r="AQ6">
        <f t="shared" ref="AQ6:AQ12" si="0">COUNTIF($AE6:$AN6,48)</f>
        <v>0</v>
      </c>
      <c r="AR6">
        <f t="shared" ref="AR6:AR12" si="1">COUNTIF($AE6:$AN6,60)</f>
        <v>0</v>
      </c>
      <c r="AS6">
        <f t="shared" ref="AS6:AS11" si="2">COUNTIF($AE6:$AN6,72)</f>
        <v>0</v>
      </c>
      <c r="AT6">
        <f t="shared" ref="AT6:AT12" si="3">COUNTIF($AE6:$AN6,96)</f>
        <v>0</v>
      </c>
      <c r="AU6">
        <f t="shared" ref="AU6:AU12" si="4">COUNTIF($AE6:$AN6,120)</f>
        <v>0</v>
      </c>
    </row>
    <row r="7" spans="1:47" x14ac:dyDescent="0.45">
      <c r="I7">
        <v>5</v>
      </c>
      <c r="N7">
        <v>0.625</v>
      </c>
      <c r="W7" s="36">
        <v>0.25</v>
      </c>
      <c r="X7">
        <v>11.16</v>
      </c>
      <c r="Y7">
        <v>10.210000000000001</v>
      </c>
      <c r="AD7" t="s">
        <v>293</v>
      </c>
      <c r="AE7" t="e">
        <f>VLOOKUP(MAIN!$M7,IF(MAIN!$G$4="SA36",SHELLS!$Q$2:$W$602,SHELLS!$C$2:$M$602),2,FALSE)</f>
        <v>#N/A</v>
      </c>
      <c r="AF7" t="e">
        <f>VLOOKUP(MAIN!$M7,IF(MAIN!$G$4="SA36",SHELLS!$Q$2:$W$602,SHELLS!$C$2:$M$602),3,FALSE)</f>
        <v>#N/A</v>
      </c>
      <c r="AG7" t="e">
        <f>VLOOKUP(MAIN!$M7,IF(MAIN!$G$4="SA36",SHELLS!$Q$2:$W$602,SHELLS!$C$2:$M$602),4,FALSE)</f>
        <v>#N/A</v>
      </c>
      <c r="AH7" t="e">
        <f>VLOOKUP(MAIN!$M7,IF(MAIN!$G$4="SA36",SHELLS!$Q$2:$W$602,SHELLS!$C$2:$M$602),5,FALSE)</f>
        <v>#N/A</v>
      </c>
      <c r="AI7" t="e">
        <f>VLOOKUP(MAIN!$M7,IF(MAIN!$G$4="SA36",SHELLS!$Q$2:$W$602,SHELLS!$C$2:$M$602),6,FALSE)</f>
        <v>#N/A</v>
      </c>
      <c r="AJ7" t="e">
        <f>VLOOKUP(MAIN!$M7,IF(MAIN!$G$4="SA36",SHELLS!$Q$2:$W$602,SHELLS!$C$2:$M$602),7,FALSE)</f>
        <v>#N/A</v>
      </c>
      <c r="AK7" t="e">
        <f>VLOOKUP(MAIN!$M7,IF(MAIN!$G$4="SA36",SHELLS!$Q$2:$W$602,SHELLS!$C$2:$M$602),8,FALSE)</f>
        <v>#N/A</v>
      </c>
      <c r="AL7" t="e">
        <f>VLOOKUP(MAIN!$M7,IF(MAIN!$G$4="SA36",SHELLS!$Q$2:$W$602,SHELLS!$C$2:$M$602),9,FALSE)</f>
        <v>#N/A</v>
      </c>
      <c r="AM7" t="e">
        <f>VLOOKUP(MAIN!$M7,IF(MAIN!$G$4="SA36",SHELLS!$Q$2:$W$602,SHELLS!$C$2:$M$602),10,FALSE)</f>
        <v>#N/A</v>
      </c>
      <c r="AN7" t="e">
        <f>VLOOKUP(MAIN!$M7,IF(MAIN!$G$4="SA36",SHELLS!$Q$2:$W$602,SHELLS!$C$2:$M$602),11,FALSE)</f>
        <v>#N/A</v>
      </c>
      <c r="AP7" s="36">
        <f>MAIN!O7</f>
        <v>0</v>
      </c>
      <c r="AQ7">
        <f t="shared" si="0"/>
        <v>0</v>
      </c>
      <c r="AR7">
        <f t="shared" si="1"/>
        <v>0</v>
      </c>
      <c r="AS7">
        <f>COUNTIF($AE7:$AN7,72)</f>
        <v>0</v>
      </c>
      <c r="AT7">
        <f t="shared" si="3"/>
        <v>0</v>
      </c>
      <c r="AU7">
        <f t="shared" si="4"/>
        <v>0</v>
      </c>
    </row>
    <row r="8" spans="1:47" x14ac:dyDescent="0.45">
      <c r="I8">
        <v>6</v>
      </c>
      <c r="N8">
        <v>0.75</v>
      </c>
      <c r="W8" s="36">
        <v>0.3125</v>
      </c>
      <c r="X8">
        <v>13.75</v>
      </c>
      <c r="Y8">
        <v>12.76</v>
      </c>
      <c r="AD8" t="s">
        <v>294</v>
      </c>
      <c r="AE8" t="e">
        <f>VLOOKUP(MAIN!$M8,IF(MAIN!$G$4="SA36",SHELLS!$Q$2:$W$602,SHELLS!$C$2:$M$602),2,FALSE)</f>
        <v>#N/A</v>
      </c>
      <c r="AF8" t="e">
        <f>VLOOKUP(MAIN!$M8,IF(MAIN!$G$4="SA36",SHELLS!$Q$2:$W$602,SHELLS!$C$2:$M$602),3,FALSE)</f>
        <v>#N/A</v>
      </c>
      <c r="AG8" t="e">
        <f>VLOOKUP(MAIN!$M8,IF(MAIN!$G$4="SA36",SHELLS!$Q$2:$W$602,SHELLS!$C$2:$M$602),4,FALSE)</f>
        <v>#N/A</v>
      </c>
      <c r="AH8" t="e">
        <f>VLOOKUP(MAIN!$M8,IF(MAIN!$G$4="SA36",SHELLS!$Q$2:$W$602,SHELLS!$C$2:$M$602),5,FALSE)</f>
        <v>#N/A</v>
      </c>
      <c r="AI8" t="e">
        <f>VLOOKUP(MAIN!$M8,IF(MAIN!$G$4="SA36",SHELLS!$Q$2:$W$602,SHELLS!$C$2:$M$602),6,FALSE)</f>
        <v>#N/A</v>
      </c>
      <c r="AJ8" t="e">
        <f>VLOOKUP(MAIN!$M8,IF(MAIN!$G$4="SA36",SHELLS!$Q$2:$W$602,SHELLS!$C$2:$M$602),7,FALSE)</f>
        <v>#N/A</v>
      </c>
      <c r="AK8" t="e">
        <f>VLOOKUP(MAIN!$M8,IF(MAIN!$G$4="SA36",SHELLS!$Q$2:$W$602,SHELLS!$C$2:$M$602),8,FALSE)</f>
        <v>#N/A</v>
      </c>
      <c r="AL8" t="e">
        <f>VLOOKUP(MAIN!$M8,IF(MAIN!$G$4="SA36",SHELLS!$Q$2:$W$602,SHELLS!$C$2:$M$602),9,FALSE)</f>
        <v>#N/A</v>
      </c>
      <c r="AM8" t="e">
        <f>VLOOKUP(MAIN!$M8,IF(MAIN!$G$4="SA36",SHELLS!$Q$2:$W$602,SHELLS!$C$2:$M$602),10,FALSE)</f>
        <v>#N/A</v>
      </c>
      <c r="AN8" t="e">
        <f>VLOOKUP(MAIN!$M8,IF(MAIN!$G$4="SA36",SHELLS!$Q$2:$W$602,SHELLS!$C$2:$M$602),11,FALSE)</f>
        <v>#N/A</v>
      </c>
      <c r="AP8" s="36">
        <f>MAIN!O8</f>
        <v>0</v>
      </c>
      <c r="AQ8">
        <f t="shared" si="0"/>
        <v>0</v>
      </c>
      <c r="AR8">
        <f t="shared" si="1"/>
        <v>0</v>
      </c>
      <c r="AS8">
        <f t="shared" si="2"/>
        <v>0</v>
      </c>
      <c r="AT8">
        <f t="shared" si="3"/>
        <v>0</v>
      </c>
      <c r="AU8">
        <f t="shared" si="4"/>
        <v>0</v>
      </c>
    </row>
    <row r="9" spans="1:47" x14ac:dyDescent="0.45">
      <c r="A9">
        <v>304</v>
      </c>
      <c r="I9">
        <v>8</v>
      </c>
      <c r="N9">
        <v>1</v>
      </c>
      <c r="W9" s="36">
        <v>0.375</v>
      </c>
      <c r="X9">
        <v>16.5</v>
      </c>
      <c r="Y9">
        <v>15.32</v>
      </c>
      <c r="AD9" t="s">
        <v>295</v>
      </c>
      <c r="AE9" t="e">
        <f>VLOOKUP(MAIN!$M9,IF(MAIN!$G$4="SA36",SHELLS!$Q$2:$W$602,SHELLS!$C$2:$M$602),2,FALSE)</f>
        <v>#N/A</v>
      </c>
      <c r="AF9" t="e">
        <f>VLOOKUP(MAIN!$M9,IF(MAIN!$G$4="SA36",SHELLS!$Q$2:$W$602,SHELLS!$C$2:$M$602),3,FALSE)</f>
        <v>#N/A</v>
      </c>
      <c r="AG9" t="e">
        <f>VLOOKUP(MAIN!$M9,IF(MAIN!$G$4="SA36",SHELLS!$Q$2:$W$602,SHELLS!$C$2:$M$602),4,FALSE)</f>
        <v>#N/A</v>
      </c>
      <c r="AH9" t="e">
        <f>VLOOKUP(MAIN!$M9,IF(MAIN!$G$4="SA36",SHELLS!$Q$2:$W$602,SHELLS!$C$2:$M$602),5,FALSE)</f>
        <v>#N/A</v>
      </c>
      <c r="AI9" t="e">
        <f>VLOOKUP(MAIN!$M9,IF(MAIN!$G$4="SA36",SHELLS!$Q$2:$W$602,SHELLS!$C$2:$M$602),6,FALSE)</f>
        <v>#N/A</v>
      </c>
      <c r="AJ9" t="e">
        <f>VLOOKUP(MAIN!$M9,IF(MAIN!$G$4="SA36",SHELLS!$Q$2:$W$602,SHELLS!$C$2:$M$602),7,FALSE)</f>
        <v>#N/A</v>
      </c>
      <c r="AK9" t="e">
        <f>VLOOKUP(MAIN!$M9,IF(MAIN!$G$4="SA36",SHELLS!$Q$2:$W$602,SHELLS!$C$2:$M$602),8,FALSE)</f>
        <v>#N/A</v>
      </c>
      <c r="AL9" t="e">
        <f>VLOOKUP(MAIN!$M9,IF(MAIN!$G$4="SA36",SHELLS!$Q$2:$W$602,SHELLS!$C$2:$M$602),9,FALSE)</f>
        <v>#N/A</v>
      </c>
      <c r="AM9" t="e">
        <f>VLOOKUP(MAIN!$M9,IF(MAIN!$G$4="SA36",SHELLS!$Q$2:$W$602,SHELLS!$C$2:$M$602),10,FALSE)</f>
        <v>#N/A</v>
      </c>
      <c r="AN9" t="e">
        <f>VLOOKUP(MAIN!$M9,IF(MAIN!$G$4="SA36",SHELLS!$Q$2:$W$602,SHELLS!$C$2:$M$602),11,FALSE)</f>
        <v>#N/A</v>
      </c>
      <c r="AP9" s="36">
        <f>MAIN!O9</f>
        <v>0</v>
      </c>
      <c r="AQ9">
        <f t="shared" si="0"/>
        <v>0</v>
      </c>
      <c r="AR9">
        <f t="shared" si="1"/>
        <v>0</v>
      </c>
      <c r="AS9">
        <f>COUNTIF($AE9:$AN9,72)</f>
        <v>0</v>
      </c>
      <c r="AT9">
        <f t="shared" si="3"/>
        <v>0</v>
      </c>
      <c r="AU9">
        <f t="shared" si="4"/>
        <v>0</v>
      </c>
    </row>
    <row r="10" spans="1:47" x14ac:dyDescent="0.45">
      <c r="A10">
        <v>316</v>
      </c>
      <c r="I10">
        <v>10</v>
      </c>
      <c r="W10" s="36">
        <v>0.5</v>
      </c>
      <c r="X10">
        <v>21.66</v>
      </c>
      <c r="Y10">
        <v>20.420000000000002</v>
      </c>
      <c r="AD10" t="s">
        <v>296</v>
      </c>
      <c r="AE10" t="e">
        <f>VLOOKUP(MAIN!$M10,IF(MAIN!$G$4="SA36",SHELLS!$Q$2:$W$602,SHELLS!$C$2:$M$602),2,FALSE)</f>
        <v>#N/A</v>
      </c>
      <c r="AF10" t="e">
        <f>VLOOKUP(MAIN!$M10,IF(MAIN!$G$4="SA36",SHELLS!$Q$2:$W$602,SHELLS!$C$2:$M$602),3,FALSE)</f>
        <v>#N/A</v>
      </c>
      <c r="AG10" t="e">
        <f>VLOOKUP(MAIN!$M10,IF(MAIN!$G$4="SA36",SHELLS!$Q$2:$W$602,SHELLS!$C$2:$M$602),4,FALSE)</f>
        <v>#N/A</v>
      </c>
      <c r="AH10" t="e">
        <f>VLOOKUP(MAIN!$M10,IF(MAIN!$G$4="SA36",SHELLS!$Q$2:$W$602,SHELLS!$C$2:$M$602),5,FALSE)</f>
        <v>#N/A</v>
      </c>
      <c r="AI10" t="e">
        <f>VLOOKUP(MAIN!$M10,IF(MAIN!$G$4="SA36",SHELLS!$Q$2:$W$602,SHELLS!$C$2:$M$602),6,FALSE)</f>
        <v>#N/A</v>
      </c>
      <c r="AJ10" t="e">
        <f>VLOOKUP(MAIN!$M10,IF(MAIN!$G$4="SA36",SHELLS!$Q$2:$W$602,SHELLS!$C$2:$M$602),7,FALSE)</f>
        <v>#N/A</v>
      </c>
      <c r="AK10" t="e">
        <f>VLOOKUP(MAIN!$M10,IF(MAIN!$G$4="SA36",SHELLS!$Q$2:$W$602,SHELLS!$C$2:$M$602),8,FALSE)</f>
        <v>#N/A</v>
      </c>
      <c r="AL10" t="e">
        <f>VLOOKUP(MAIN!$M10,IF(MAIN!$G$4="SA36",SHELLS!$Q$2:$W$602,SHELLS!$C$2:$M$602),9,FALSE)</f>
        <v>#N/A</v>
      </c>
      <c r="AM10" t="e">
        <f>VLOOKUP(MAIN!$M10,IF(MAIN!$G$4="SA36",SHELLS!$Q$2:$W$602,SHELLS!$C$2:$M$602),10,FALSE)</f>
        <v>#N/A</v>
      </c>
      <c r="AN10" t="e">
        <f>VLOOKUP(MAIN!$M10,IF(MAIN!$G$4="SA36",SHELLS!$Q$2:$W$602,SHELLS!$C$2:$M$602),11,FALSE)</f>
        <v>#N/A</v>
      </c>
      <c r="AP10" s="36">
        <f>MAIN!O10</f>
        <v>0</v>
      </c>
      <c r="AQ10">
        <f t="shared" si="0"/>
        <v>0</v>
      </c>
      <c r="AR10">
        <f t="shared" si="1"/>
        <v>0</v>
      </c>
      <c r="AS10">
        <f t="shared" si="2"/>
        <v>0</v>
      </c>
      <c r="AT10">
        <f t="shared" si="3"/>
        <v>0</v>
      </c>
      <c r="AU10">
        <f t="shared" si="4"/>
        <v>0</v>
      </c>
    </row>
    <row r="11" spans="1:47" x14ac:dyDescent="0.45">
      <c r="A11" t="s">
        <v>204</v>
      </c>
      <c r="I11">
        <v>12</v>
      </c>
      <c r="W11" s="36">
        <v>0.625</v>
      </c>
      <c r="X11">
        <v>26.83</v>
      </c>
      <c r="Y11">
        <v>25.53</v>
      </c>
      <c r="AD11" t="s">
        <v>297</v>
      </c>
      <c r="AE11" t="e">
        <f>VLOOKUP(MAIN!$M11,IF(MAIN!$G$4="SA36",SHELLS!$Q$2:$W$602,SHELLS!$C$2:$M$602),2,FALSE)</f>
        <v>#N/A</v>
      </c>
      <c r="AF11" t="e">
        <f>VLOOKUP(MAIN!$M11,IF(MAIN!$G$4="SA36",SHELLS!$Q$2:$W$602,SHELLS!$C$2:$M$602),3,FALSE)</f>
        <v>#N/A</v>
      </c>
      <c r="AG11" t="e">
        <f>VLOOKUP(MAIN!$M11,IF(MAIN!$G$4="SA36",SHELLS!$Q$2:$W$602,SHELLS!$C$2:$M$602),4,FALSE)</f>
        <v>#N/A</v>
      </c>
      <c r="AH11" t="e">
        <f>VLOOKUP(MAIN!$M11,IF(MAIN!$G$4="SA36",SHELLS!$Q$2:$W$602,SHELLS!$C$2:$M$602),5,FALSE)</f>
        <v>#N/A</v>
      </c>
      <c r="AI11" t="e">
        <f>VLOOKUP(MAIN!$M11,IF(MAIN!$G$4="SA36",SHELLS!$Q$2:$W$602,SHELLS!$C$2:$M$602),6,FALSE)</f>
        <v>#N/A</v>
      </c>
      <c r="AJ11" t="e">
        <f>VLOOKUP(MAIN!$M11,IF(MAIN!$G$4="SA36",SHELLS!$Q$2:$W$602,SHELLS!$C$2:$M$602),7,FALSE)</f>
        <v>#N/A</v>
      </c>
      <c r="AK11" t="e">
        <f>VLOOKUP(MAIN!$M11,IF(MAIN!$G$4="SA36",SHELLS!$Q$2:$W$602,SHELLS!$C$2:$M$602),8,FALSE)</f>
        <v>#N/A</v>
      </c>
      <c r="AL11" t="e">
        <f>VLOOKUP(MAIN!$M11,IF(MAIN!$G$4="SA36",SHELLS!$Q$2:$W$602,SHELLS!$C$2:$M$602),9,FALSE)</f>
        <v>#N/A</v>
      </c>
      <c r="AM11" t="e">
        <f>VLOOKUP(MAIN!$M11,IF(MAIN!$G$4="SA36",SHELLS!$Q$2:$W$602,SHELLS!$C$2:$M$602),10,FALSE)</f>
        <v>#N/A</v>
      </c>
      <c r="AN11" t="e">
        <f>VLOOKUP(MAIN!$M11,IF(MAIN!$G$4="SA36",SHELLS!$Q$2:$W$602,SHELLS!$C$2:$M$602),11,FALSE)</f>
        <v>#N/A</v>
      </c>
      <c r="AP11" s="36">
        <f>MAIN!O11</f>
        <v>0</v>
      </c>
      <c r="AQ11">
        <f t="shared" si="0"/>
        <v>0</v>
      </c>
      <c r="AR11">
        <f t="shared" si="1"/>
        <v>0</v>
      </c>
      <c r="AS11">
        <f t="shared" si="2"/>
        <v>0</v>
      </c>
      <c r="AT11">
        <f t="shared" si="3"/>
        <v>0</v>
      </c>
      <c r="AU11">
        <f t="shared" si="4"/>
        <v>0</v>
      </c>
    </row>
    <row r="12" spans="1:47" x14ac:dyDescent="0.45">
      <c r="I12">
        <v>14</v>
      </c>
      <c r="W12" s="36">
        <v>0.75</v>
      </c>
      <c r="X12">
        <v>32.119999999999997</v>
      </c>
      <c r="Y12">
        <v>30.63</v>
      </c>
      <c r="AD12" t="s">
        <v>298</v>
      </c>
      <c r="AE12" t="e">
        <f>VLOOKUP(MAIN!$M12,IF(MAIN!$G$4="SA36",SHELLS!$Q$2:$W$602,SHELLS!$C$2:$M$602),2,FALSE)</f>
        <v>#N/A</v>
      </c>
      <c r="AF12" t="e">
        <f>VLOOKUP(MAIN!$M12,IF(MAIN!$G$4="SA36",SHELLS!$Q$2:$W$602,SHELLS!$C$2:$M$602),3,FALSE)</f>
        <v>#N/A</v>
      </c>
      <c r="AG12" t="e">
        <f>VLOOKUP(MAIN!$M12,IF(MAIN!$G$4="SA36",SHELLS!$Q$2:$W$602,SHELLS!$C$2:$M$602),4,FALSE)</f>
        <v>#N/A</v>
      </c>
      <c r="AH12" t="e">
        <f>VLOOKUP(MAIN!$M12,IF(MAIN!$G$4="SA36",SHELLS!$Q$2:$W$602,SHELLS!$C$2:$M$602),5,FALSE)</f>
        <v>#N/A</v>
      </c>
      <c r="AI12" t="e">
        <f>VLOOKUP(MAIN!$M12,IF(MAIN!$G$4="SA36",SHELLS!$Q$2:$W$602,SHELLS!$C$2:$M$602),6,FALSE)</f>
        <v>#N/A</v>
      </c>
      <c r="AJ12" t="e">
        <f>VLOOKUP(MAIN!$M12,IF(MAIN!$G$4="SA36",SHELLS!$Q$2:$W$602,SHELLS!$C$2:$M$602),7,FALSE)</f>
        <v>#N/A</v>
      </c>
      <c r="AK12" t="e">
        <f>VLOOKUP(MAIN!$M12,IF(MAIN!$G$4="SA36",SHELLS!$Q$2:$W$602,SHELLS!$C$2:$M$602),8,FALSE)</f>
        <v>#N/A</v>
      </c>
      <c r="AL12" t="e">
        <f>VLOOKUP(MAIN!$M12,IF(MAIN!$G$4="SA36",SHELLS!$Q$2:$W$602,SHELLS!$C$2:$M$602),9,FALSE)</f>
        <v>#N/A</v>
      </c>
      <c r="AM12" t="e">
        <f>VLOOKUP(MAIN!$M12,IF(MAIN!$G$4="SA36",SHELLS!$Q$2:$W$602,SHELLS!$C$2:$M$602),10,FALSE)</f>
        <v>#N/A</v>
      </c>
      <c r="AN12" t="e">
        <f>VLOOKUP(MAIN!$M12,IF(MAIN!$G$4="SA36",SHELLS!$Q$2:$W$602,SHELLS!$C$2:$M$602),11,FALSE)</f>
        <v>#N/A</v>
      </c>
      <c r="AP12" s="36">
        <f>MAIN!O12</f>
        <v>0</v>
      </c>
      <c r="AQ12">
        <f t="shared" si="0"/>
        <v>0</v>
      </c>
      <c r="AR12">
        <f t="shared" si="1"/>
        <v>0</v>
      </c>
      <c r="AS12">
        <f>COUNTIF($AE12:$AN12,72)</f>
        <v>0</v>
      </c>
      <c r="AT12">
        <f t="shared" si="3"/>
        <v>0</v>
      </c>
      <c r="AU12">
        <f t="shared" si="4"/>
        <v>0</v>
      </c>
    </row>
    <row r="13" spans="1:47" x14ac:dyDescent="0.45">
      <c r="I13">
        <v>16</v>
      </c>
      <c r="W13" s="36">
        <v>0.875</v>
      </c>
      <c r="X13">
        <v>37.29</v>
      </c>
      <c r="Y13">
        <v>35.74</v>
      </c>
    </row>
    <row r="14" spans="1:47" x14ac:dyDescent="0.45">
      <c r="I14">
        <v>18</v>
      </c>
      <c r="W14" s="36">
        <v>1</v>
      </c>
      <c r="X14">
        <v>42.67</v>
      </c>
      <c r="Y14">
        <v>40.840000000000003</v>
      </c>
    </row>
    <row r="15" spans="1:47" x14ac:dyDescent="0.45">
      <c r="A15" t="s">
        <v>403</v>
      </c>
      <c r="I15">
        <v>20</v>
      </c>
    </row>
    <row r="16" spans="1:47" x14ac:dyDescent="0.45">
      <c r="A16" t="s">
        <v>404</v>
      </c>
      <c r="I16">
        <v>24</v>
      </c>
    </row>
    <row r="17" spans="5:24" x14ac:dyDescent="0.45">
      <c r="I17">
        <v>30</v>
      </c>
    </row>
    <row r="20" spans="5:24" x14ac:dyDescent="0.45">
      <c r="W20" t="s">
        <v>237</v>
      </c>
      <c r="X20" t="e">
        <f>VLOOKUP(MAIN!$O$3,Lists!$W$4:$Y$14,IF(MAIN!$G$4="sa36",3,2),FALSE)</f>
        <v>#N/A</v>
      </c>
    </row>
    <row r="21" spans="5:24" x14ac:dyDescent="0.45">
      <c r="W21" t="s">
        <v>238</v>
      </c>
    </row>
    <row r="22" spans="5:24" x14ac:dyDescent="0.45">
      <c r="W22" t="s">
        <v>239</v>
      </c>
    </row>
    <row r="23" spans="5:24" x14ac:dyDescent="0.45">
      <c r="W23" t="s">
        <v>240</v>
      </c>
    </row>
    <row r="24" spans="5:24" x14ac:dyDescent="0.45">
      <c r="W24" t="s">
        <v>241</v>
      </c>
    </row>
    <row r="25" spans="5:24" x14ac:dyDescent="0.45">
      <c r="W25" t="s">
        <v>242</v>
      </c>
    </row>
    <row r="26" spans="5:24" x14ac:dyDescent="0.45">
      <c r="W26" t="s">
        <v>243</v>
      </c>
    </row>
    <row r="27" spans="5:24" x14ac:dyDescent="0.45">
      <c r="W27" t="s">
        <v>244</v>
      </c>
    </row>
    <row r="28" spans="5:24" x14ac:dyDescent="0.45">
      <c r="W28" t="s">
        <v>245</v>
      </c>
    </row>
    <row r="29" spans="5:24" x14ac:dyDescent="0.45">
      <c r="E29" t="s">
        <v>357</v>
      </c>
      <c r="H29" t="s">
        <v>358</v>
      </c>
      <c r="W29" t="s">
        <v>246</v>
      </c>
      <c r="X29" t="e">
        <f>VLOOKUP(MAIN!$L$4,Lists!$W$4:$Y$14,IF(MAIN!$G$4="sa36",3,2),FALSE)</f>
        <v>#N/A</v>
      </c>
    </row>
    <row r="30" spans="5:24" x14ac:dyDescent="0.45">
      <c r="E30">
        <f>MAIN!F10*MAIN!G9+PRODUCT!C69/4</f>
        <v>0</v>
      </c>
      <c r="F30" cm="1">
        <f t="array" ref="F30">_xlfn.IFS(E30&lt;48,48,AND(E30&gt;47,E30&lt;61),60)</f>
        <v>48</v>
      </c>
      <c r="H30" cm="1">
        <f t="array" ref="H30">IF(OR(MAIN!G4=304,MAIN!G4=316),MAIN!I9,_xlfn.IFS(MAIN!I9&lt;121,120,MAIN!I9&lt;145,144,MAIN!I9&lt;241,240,MAIN!I9&lt;361,360,MAIN!I9&lt;481,480))</f>
        <v>120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7DE1-CBCF-4BC9-9616-40961F536535}">
  <sheetPr codeName="Sheet5"/>
  <dimension ref="A1:BM602"/>
  <sheetViews>
    <sheetView workbookViewId="0">
      <selection activeCell="BM121" sqref="BM3:BM121"/>
    </sheetView>
  </sheetViews>
  <sheetFormatPr defaultRowHeight="14.25" x14ac:dyDescent="0.45"/>
  <sheetData>
    <row r="1" spans="1:65" x14ac:dyDescent="0.45">
      <c r="A1" s="45" t="s">
        <v>288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  <c r="N1" s="42"/>
      <c r="O1" s="45" t="s">
        <v>289</v>
      </c>
      <c r="P1" s="46"/>
      <c r="Q1" s="46"/>
      <c r="R1" s="46"/>
      <c r="S1" s="46"/>
      <c r="T1" s="46"/>
      <c r="U1" s="46"/>
      <c r="V1" s="46"/>
      <c r="W1" s="46"/>
      <c r="AC1" t="s">
        <v>328</v>
      </c>
      <c r="AI1" t="s">
        <v>329</v>
      </c>
      <c r="AU1" t="s">
        <v>326</v>
      </c>
      <c r="BC1" t="s">
        <v>327</v>
      </c>
      <c r="BK1" t="s">
        <v>56</v>
      </c>
    </row>
    <row r="2" spans="1:65" x14ac:dyDescent="0.45">
      <c r="A2" s="33" t="s">
        <v>275</v>
      </c>
      <c r="B2" s="32" t="s">
        <v>276</v>
      </c>
      <c r="C2" s="32" t="s">
        <v>277</v>
      </c>
      <c r="D2" s="32" t="s">
        <v>278</v>
      </c>
      <c r="E2" s="32" t="s">
        <v>279</v>
      </c>
      <c r="F2" s="32" t="s">
        <v>280</v>
      </c>
      <c r="G2" s="32" t="s">
        <v>281</v>
      </c>
      <c r="H2" s="32" t="s">
        <v>282</v>
      </c>
      <c r="I2" s="32" t="s">
        <v>283</v>
      </c>
      <c r="J2" s="32" t="s">
        <v>284</v>
      </c>
      <c r="K2" s="32" t="s">
        <v>285</v>
      </c>
      <c r="L2" s="32" t="s">
        <v>286</v>
      </c>
      <c r="M2" s="39" t="s">
        <v>287</v>
      </c>
      <c r="N2" s="43" t="s">
        <v>325</v>
      </c>
      <c r="O2" s="33" t="s">
        <v>275</v>
      </c>
      <c r="P2" s="32" t="s">
        <v>276</v>
      </c>
      <c r="Q2" s="32" t="s">
        <v>277</v>
      </c>
      <c r="R2" s="32" t="s">
        <v>278</v>
      </c>
      <c r="S2" s="32" t="s">
        <v>279</v>
      </c>
      <c r="T2" s="32" t="s">
        <v>280</v>
      </c>
      <c r="U2" s="32" t="s">
        <v>281</v>
      </c>
      <c r="V2" s="32" t="s">
        <v>282</v>
      </c>
      <c r="W2" s="32" t="s">
        <v>283</v>
      </c>
      <c r="X2" s="44" t="s">
        <v>325</v>
      </c>
      <c r="AD2" t="s">
        <v>233</v>
      </c>
      <c r="AF2" t="s">
        <v>234</v>
      </c>
      <c r="AJ2" t="s">
        <v>330</v>
      </c>
      <c r="AK2" t="s">
        <v>331</v>
      </c>
      <c r="AL2" t="s">
        <v>332</v>
      </c>
      <c r="AM2" t="s">
        <v>333</v>
      </c>
      <c r="AN2" t="s">
        <v>334</v>
      </c>
      <c r="AO2" t="s">
        <v>335</v>
      </c>
      <c r="AP2" t="s">
        <v>337</v>
      </c>
      <c r="AV2">
        <v>0.1875</v>
      </c>
      <c r="AW2">
        <v>0.25</v>
      </c>
      <c r="AX2">
        <v>0.3125</v>
      </c>
      <c r="AY2">
        <v>0.375</v>
      </c>
      <c r="AZ2">
        <v>0.5</v>
      </c>
      <c r="BD2">
        <v>0.1875</v>
      </c>
      <c r="BE2">
        <v>0.25</v>
      </c>
      <c r="BF2">
        <v>0.3125</v>
      </c>
      <c r="BG2">
        <v>0.375</v>
      </c>
      <c r="BH2">
        <v>0.5</v>
      </c>
      <c r="BL2" t="s">
        <v>359</v>
      </c>
      <c r="BM2" t="s">
        <v>360</v>
      </c>
    </row>
    <row r="3" spans="1:65" x14ac:dyDescent="0.45">
      <c r="A3" s="33"/>
      <c r="B3" s="32">
        <v>1</v>
      </c>
      <c r="C3" s="32">
        <v>1</v>
      </c>
      <c r="D3" s="32">
        <v>48</v>
      </c>
      <c r="E3" s="32"/>
      <c r="F3" s="32"/>
      <c r="G3" s="32"/>
      <c r="H3" s="32"/>
      <c r="I3" s="32"/>
      <c r="J3" s="32"/>
      <c r="K3" s="32"/>
      <c r="L3" s="32"/>
      <c r="M3" s="39"/>
      <c r="N3" s="43">
        <f>COUNT(D3:M3)</f>
        <v>1</v>
      </c>
      <c r="O3" s="33"/>
      <c r="P3" s="32">
        <v>1</v>
      </c>
      <c r="Q3" s="32">
        <v>1</v>
      </c>
      <c r="R3" s="32">
        <v>48</v>
      </c>
      <c r="S3" s="32"/>
      <c r="T3" s="32"/>
      <c r="U3" s="32"/>
      <c r="V3" s="32"/>
      <c r="W3" s="32"/>
      <c r="X3">
        <f>COUNT(R3:W3)</f>
        <v>1</v>
      </c>
      <c r="AC3">
        <v>1</v>
      </c>
      <c r="AD3">
        <v>96</v>
      </c>
      <c r="AF3">
        <v>96</v>
      </c>
      <c r="AI3">
        <v>1</v>
      </c>
      <c r="AJ3">
        <v>48</v>
      </c>
      <c r="AK3">
        <v>96</v>
      </c>
      <c r="AL3">
        <v>48</v>
      </c>
      <c r="AM3">
        <v>96</v>
      </c>
      <c r="AN3">
        <v>48</v>
      </c>
      <c r="AO3">
        <v>96</v>
      </c>
      <c r="AP3">
        <v>4</v>
      </c>
      <c r="AU3">
        <v>1</v>
      </c>
      <c r="AV3">
        <v>4</v>
      </c>
      <c r="AW3">
        <v>4</v>
      </c>
      <c r="AX3">
        <v>4</v>
      </c>
      <c r="AY3">
        <v>5</v>
      </c>
      <c r="AZ3">
        <v>6</v>
      </c>
      <c r="BC3">
        <v>1</v>
      </c>
      <c r="BD3">
        <v>6</v>
      </c>
      <c r="BE3">
        <v>6</v>
      </c>
      <c r="BF3">
        <v>6</v>
      </c>
      <c r="BG3">
        <v>9</v>
      </c>
      <c r="BH3">
        <v>11</v>
      </c>
      <c r="BK3" s="32">
        <v>1</v>
      </c>
      <c r="BL3">
        <v>5</v>
      </c>
      <c r="BM3">
        <v>1</v>
      </c>
    </row>
    <row r="4" spans="1:65" x14ac:dyDescent="0.45">
      <c r="A4" s="33"/>
      <c r="B4" s="32">
        <v>2</v>
      </c>
      <c r="C4" s="32">
        <v>2</v>
      </c>
      <c r="D4" s="32">
        <v>48</v>
      </c>
      <c r="E4" s="32"/>
      <c r="F4" s="32"/>
      <c r="G4" s="32"/>
      <c r="H4" s="32"/>
      <c r="I4" s="32"/>
      <c r="J4" s="32"/>
      <c r="K4" s="32"/>
      <c r="L4" s="32"/>
      <c r="M4" s="39"/>
      <c r="N4" s="43">
        <f t="shared" ref="N4:N67" si="0">COUNT(D4:M4)</f>
        <v>1</v>
      </c>
      <c r="O4" s="33"/>
      <c r="P4" s="32">
        <v>2</v>
      </c>
      <c r="Q4" s="32">
        <v>2</v>
      </c>
      <c r="R4" s="32">
        <v>48</v>
      </c>
      <c r="S4" s="32"/>
      <c r="T4" s="32"/>
      <c r="U4" s="32"/>
      <c r="V4" s="32"/>
      <c r="W4" s="32"/>
      <c r="X4">
        <f t="shared" ref="X4:X67" si="1">COUNT(R4:W4)</f>
        <v>1</v>
      </c>
      <c r="AC4">
        <v>2</v>
      </c>
      <c r="AD4">
        <v>96</v>
      </c>
      <c r="AF4">
        <v>96</v>
      </c>
      <c r="AI4">
        <v>2</v>
      </c>
      <c r="AJ4">
        <v>48</v>
      </c>
      <c r="AK4">
        <v>96</v>
      </c>
      <c r="AL4">
        <v>48</v>
      </c>
      <c r="AM4">
        <v>96</v>
      </c>
      <c r="AN4">
        <v>48</v>
      </c>
      <c r="AO4">
        <v>96</v>
      </c>
      <c r="AP4">
        <v>4</v>
      </c>
      <c r="AU4">
        <v>2</v>
      </c>
      <c r="AV4">
        <v>4</v>
      </c>
      <c r="AW4">
        <v>4</v>
      </c>
      <c r="AX4">
        <v>4</v>
      </c>
      <c r="AY4">
        <v>5</v>
      </c>
      <c r="AZ4">
        <v>6</v>
      </c>
      <c r="BC4">
        <v>2</v>
      </c>
      <c r="BD4">
        <v>6</v>
      </c>
      <c r="BE4">
        <v>6</v>
      </c>
      <c r="BF4">
        <v>6</v>
      </c>
      <c r="BG4">
        <v>9</v>
      </c>
      <c r="BH4">
        <v>11</v>
      </c>
      <c r="BK4" s="32">
        <v>2</v>
      </c>
      <c r="BL4">
        <v>5</v>
      </c>
      <c r="BM4">
        <v>1</v>
      </c>
    </row>
    <row r="5" spans="1:65" x14ac:dyDescent="0.45">
      <c r="A5" s="33"/>
      <c r="B5" s="32">
        <v>3</v>
      </c>
      <c r="C5" s="32">
        <v>3</v>
      </c>
      <c r="D5" s="32">
        <v>48</v>
      </c>
      <c r="E5" s="32"/>
      <c r="F5" s="32"/>
      <c r="G5" s="32"/>
      <c r="H5" s="32"/>
      <c r="I5" s="32"/>
      <c r="J5" s="32"/>
      <c r="K5" s="32"/>
      <c r="L5" s="32"/>
      <c r="M5" s="39"/>
      <c r="N5" s="43">
        <f t="shared" si="0"/>
        <v>1</v>
      </c>
      <c r="O5" s="33"/>
      <c r="P5" s="32">
        <v>3</v>
      </c>
      <c r="Q5" s="32">
        <v>3</v>
      </c>
      <c r="R5" s="32">
        <v>48</v>
      </c>
      <c r="S5" s="32"/>
      <c r="T5" s="32"/>
      <c r="U5" s="32"/>
      <c r="V5" s="32"/>
      <c r="W5" s="32"/>
      <c r="X5">
        <f t="shared" si="1"/>
        <v>1</v>
      </c>
      <c r="AC5">
        <v>3</v>
      </c>
      <c r="AD5">
        <v>96</v>
      </c>
      <c r="AF5">
        <v>96</v>
      </c>
      <c r="AI5">
        <v>3</v>
      </c>
      <c r="AJ5">
        <v>48</v>
      </c>
      <c r="AK5">
        <v>96</v>
      </c>
      <c r="AL5">
        <v>48</v>
      </c>
      <c r="AM5">
        <v>96</v>
      </c>
      <c r="AN5">
        <v>48</v>
      </c>
      <c r="AO5">
        <v>96</v>
      </c>
      <c r="AP5">
        <v>4</v>
      </c>
      <c r="AU5">
        <v>3</v>
      </c>
      <c r="AV5">
        <v>4</v>
      </c>
      <c r="AW5">
        <v>4</v>
      </c>
      <c r="AX5">
        <v>4</v>
      </c>
      <c r="AY5">
        <v>5</v>
      </c>
      <c r="AZ5">
        <v>6</v>
      </c>
      <c r="BC5">
        <v>3</v>
      </c>
      <c r="BD5">
        <v>6</v>
      </c>
      <c r="BE5">
        <v>6</v>
      </c>
      <c r="BF5">
        <v>6</v>
      </c>
      <c r="BG5">
        <v>9</v>
      </c>
      <c r="BH5">
        <v>11</v>
      </c>
      <c r="BK5" s="32">
        <v>3</v>
      </c>
      <c r="BL5">
        <v>5</v>
      </c>
      <c r="BM5">
        <v>1</v>
      </c>
    </row>
    <row r="6" spans="1:65" x14ac:dyDescent="0.45">
      <c r="A6" s="33"/>
      <c r="B6" s="32">
        <v>4</v>
      </c>
      <c r="C6" s="32">
        <v>4</v>
      </c>
      <c r="D6" s="32">
        <v>48</v>
      </c>
      <c r="E6" s="32"/>
      <c r="F6" s="32"/>
      <c r="G6" s="32"/>
      <c r="H6" s="32"/>
      <c r="I6" s="32"/>
      <c r="J6" s="32"/>
      <c r="K6" s="32"/>
      <c r="L6" s="32"/>
      <c r="M6" s="39"/>
      <c r="N6" s="43">
        <f t="shared" si="0"/>
        <v>1</v>
      </c>
      <c r="O6" s="33"/>
      <c r="P6" s="32">
        <v>4</v>
      </c>
      <c r="Q6" s="32">
        <v>4</v>
      </c>
      <c r="R6" s="32">
        <v>48</v>
      </c>
      <c r="S6" s="32"/>
      <c r="T6" s="32"/>
      <c r="U6" s="32"/>
      <c r="V6" s="32"/>
      <c r="W6" s="32"/>
      <c r="X6">
        <f t="shared" si="1"/>
        <v>1</v>
      </c>
      <c r="AC6">
        <v>4</v>
      </c>
      <c r="AD6">
        <v>96</v>
      </c>
      <c r="AF6">
        <v>96</v>
      </c>
      <c r="AI6">
        <v>4</v>
      </c>
      <c r="AJ6">
        <v>48</v>
      </c>
      <c r="AK6">
        <v>96</v>
      </c>
      <c r="AL6">
        <v>48</v>
      </c>
      <c r="AM6">
        <v>96</v>
      </c>
      <c r="AN6">
        <v>48</v>
      </c>
      <c r="AO6">
        <v>96</v>
      </c>
      <c r="AP6">
        <v>4</v>
      </c>
      <c r="AU6">
        <v>4</v>
      </c>
      <c r="AV6">
        <v>4</v>
      </c>
      <c r="AW6">
        <v>4</v>
      </c>
      <c r="AX6">
        <v>4</v>
      </c>
      <c r="AY6">
        <v>5</v>
      </c>
      <c r="AZ6">
        <v>6</v>
      </c>
      <c r="BC6">
        <v>4</v>
      </c>
      <c r="BD6">
        <v>6</v>
      </c>
      <c r="BE6">
        <v>6</v>
      </c>
      <c r="BF6">
        <v>6</v>
      </c>
      <c r="BG6">
        <v>9</v>
      </c>
      <c r="BH6">
        <v>11</v>
      </c>
      <c r="BK6" s="32">
        <v>4</v>
      </c>
      <c r="BL6">
        <v>5</v>
      </c>
      <c r="BM6">
        <v>1</v>
      </c>
    </row>
    <row r="7" spans="1:65" x14ac:dyDescent="0.45">
      <c r="A7" s="33"/>
      <c r="B7" s="32">
        <v>5</v>
      </c>
      <c r="C7" s="32">
        <v>5</v>
      </c>
      <c r="D7" s="32">
        <v>48</v>
      </c>
      <c r="E7" s="32"/>
      <c r="F7" s="32"/>
      <c r="G7" s="32"/>
      <c r="H7" s="32"/>
      <c r="I7" s="32"/>
      <c r="J7" s="32"/>
      <c r="K7" s="32"/>
      <c r="L7" s="32"/>
      <c r="M7" s="39"/>
      <c r="N7" s="43">
        <f t="shared" si="0"/>
        <v>1</v>
      </c>
      <c r="O7" s="33"/>
      <c r="P7" s="32">
        <v>5</v>
      </c>
      <c r="Q7" s="32">
        <v>5</v>
      </c>
      <c r="R7" s="32">
        <v>48</v>
      </c>
      <c r="S7" s="32"/>
      <c r="T7" s="32"/>
      <c r="U7" s="32"/>
      <c r="V7" s="32"/>
      <c r="W7" s="32"/>
      <c r="X7">
        <f t="shared" si="1"/>
        <v>1</v>
      </c>
      <c r="AC7">
        <v>5</v>
      </c>
      <c r="AD7">
        <v>96</v>
      </c>
      <c r="AF7">
        <v>96</v>
      </c>
      <c r="AI7">
        <v>5</v>
      </c>
      <c r="AJ7">
        <v>48</v>
      </c>
      <c r="AK7">
        <v>96</v>
      </c>
      <c r="AL7">
        <v>48</v>
      </c>
      <c r="AM7">
        <v>96</v>
      </c>
      <c r="AN7">
        <v>48</v>
      </c>
      <c r="AO7">
        <v>96</v>
      </c>
      <c r="AP7">
        <v>4</v>
      </c>
      <c r="AU7">
        <v>5</v>
      </c>
      <c r="AV7">
        <v>4</v>
      </c>
      <c r="AW7">
        <v>4</v>
      </c>
      <c r="AX7">
        <v>4</v>
      </c>
      <c r="AY7">
        <v>5</v>
      </c>
      <c r="AZ7">
        <v>6</v>
      </c>
      <c r="BC7">
        <v>5</v>
      </c>
      <c r="BD7">
        <v>6</v>
      </c>
      <c r="BE7">
        <v>6</v>
      </c>
      <c r="BF7">
        <v>6</v>
      </c>
      <c r="BG7">
        <v>9</v>
      </c>
      <c r="BH7">
        <v>11</v>
      </c>
      <c r="BK7" s="32">
        <v>5</v>
      </c>
      <c r="BL7">
        <v>5</v>
      </c>
      <c r="BM7">
        <v>1</v>
      </c>
    </row>
    <row r="8" spans="1:65" x14ac:dyDescent="0.45">
      <c r="A8" s="33"/>
      <c r="B8" s="32">
        <v>6</v>
      </c>
      <c r="C8" s="32">
        <v>6</v>
      </c>
      <c r="D8" s="32">
        <v>48</v>
      </c>
      <c r="E8" s="32"/>
      <c r="F8" s="32"/>
      <c r="G8" s="32"/>
      <c r="H8" s="32"/>
      <c r="I8" s="32"/>
      <c r="J8" s="32"/>
      <c r="K8" s="32"/>
      <c r="L8" s="32"/>
      <c r="M8" s="39"/>
      <c r="N8" s="43">
        <f t="shared" si="0"/>
        <v>1</v>
      </c>
      <c r="O8" s="33"/>
      <c r="P8" s="32">
        <v>6</v>
      </c>
      <c r="Q8" s="32">
        <v>6</v>
      </c>
      <c r="R8" s="32">
        <v>48</v>
      </c>
      <c r="S8" s="32"/>
      <c r="T8" s="32"/>
      <c r="U8" s="32"/>
      <c r="V8" s="32"/>
      <c r="W8" s="32"/>
      <c r="X8">
        <f t="shared" si="1"/>
        <v>1</v>
      </c>
      <c r="AC8">
        <v>6</v>
      </c>
      <c r="AD8">
        <v>96</v>
      </c>
      <c r="AF8">
        <v>96</v>
      </c>
      <c r="AI8">
        <v>6</v>
      </c>
      <c r="AJ8">
        <v>48</v>
      </c>
      <c r="AK8">
        <v>96</v>
      </c>
      <c r="AL8">
        <v>48</v>
      </c>
      <c r="AM8">
        <v>96</v>
      </c>
      <c r="AN8">
        <v>48</v>
      </c>
      <c r="AO8">
        <v>96</v>
      </c>
      <c r="AP8">
        <v>4</v>
      </c>
      <c r="AU8">
        <v>6</v>
      </c>
      <c r="AV8">
        <v>4</v>
      </c>
      <c r="AW8">
        <v>4</v>
      </c>
      <c r="AX8">
        <v>4</v>
      </c>
      <c r="AY8">
        <v>5</v>
      </c>
      <c r="AZ8">
        <v>6</v>
      </c>
      <c r="BC8">
        <v>6</v>
      </c>
      <c r="BD8">
        <v>6</v>
      </c>
      <c r="BE8">
        <v>6</v>
      </c>
      <c r="BF8">
        <v>6</v>
      </c>
      <c r="BG8">
        <v>9</v>
      </c>
      <c r="BH8">
        <v>11</v>
      </c>
      <c r="BK8" s="32">
        <v>6</v>
      </c>
      <c r="BL8">
        <v>5</v>
      </c>
      <c r="BM8">
        <v>1</v>
      </c>
    </row>
    <row r="9" spans="1:65" x14ac:dyDescent="0.45">
      <c r="A9" s="33"/>
      <c r="B9" s="32">
        <v>7</v>
      </c>
      <c r="C9" s="32">
        <v>7</v>
      </c>
      <c r="D9" s="32">
        <v>48</v>
      </c>
      <c r="E9" s="32"/>
      <c r="F9" s="32"/>
      <c r="G9" s="32"/>
      <c r="H9" s="32"/>
      <c r="I9" s="32"/>
      <c r="J9" s="32"/>
      <c r="K9" s="32"/>
      <c r="L9" s="32"/>
      <c r="M9" s="39"/>
      <c r="N9" s="43">
        <f t="shared" si="0"/>
        <v>1</v>
      </c>
      <c r="O9" s="33"/>
      <c r="P9" s="32">
        <v>7</v>
      </c>
      <c r="Q9" s="32">
        <v>7</v>
      </c>
      <c r="R9" s="32">
        <v>48</v>
      </c>
      <c r="S9" s="32"/>
      <c r="T9" s="32"/>
      <c r="U9" s="32"/>
      <c r="V9" s="32"/>
      <c r="W9" s="32"/>
      <c r="X9">
        <f t="shared" si="1"/>
        <v>1</v>
      </c>
      <c r="AC9">
        <v>7</v>
      </c>
      <c r="AD9">
        <v>96</v>
      </c>
      <c r="AF9">
        <v>96</v>
      </c>
      <c r="AI9">
        <v>7</v>
      </c>
      <c r="AJ9">
        <v>48</v>
      </c>
      <c r="AK9">
        <v>96</v>
      </c>
      <c r="AL9">
        <v>48</v>
      </c>
      <c r="AM9">
        <v>96</v>
      </c>
      <c r="AN9">
        <v>48</v>
      </c>
      <c r="AO9">
        <v>96</v>
      </c>
      <c r="AP9">
        <v>4</v>
      </c>
      <c r="AU9">
        <v>7</v>
      </c>
      <c r="AV9">
        <v>4</v>
      </c>
      <c r="AW9">
        <v>4</v>
      </c>
      <c r="AX9">
        <v>4</v>
      </c>
      <c r="AY9">
        <v>5</v>
      </c>
      <c r="AZ9">
        <v>6</v>
      </c>
      <c r="BC9">
        <v>7</v>
      </c>
      <c r="BD9">
        <v>6</v>
      </c>
      <c r="BE9">
        <v>6</v>
      </c>
      <c r="BF9">
        <v>6</v>
      </c>
      <c r="BG9">
        <v>9</v>
      </c>
      <c r="BH9">
        <v>11</v>
      </c>
      <c r="BK9" s="32">
        <v>7</v>
      </c>
      <c r="BL9">
        <v>5</v>
      </c>
      <c r="BM9">
        <v>1</v>
      </c>
    </row>
    <row r="10" spans="1:65" x14ac:dyDescent="0.45">
      <c r="A10" s="33"/>
      <c r="B10" s="32">
        <v>8</v>
      </c>
      <c r="C10" s="32">
        <v>8</v>
      </c>
      <c r="D10" s="32">
        <v>48</v>
      </c>
      <c r="E10" s="32"/>
      <c r="F10" s="32"/>
      <c r="G10" s="32"/>
      <c r="H10" s="32"/>
      <c r="I10" s="32"/>
      <c r="J10" s="32"/>
      <c r="K10" s="32"/>
      <c r="L10" s="32"/>
      <c r="M10" s="39"/>
      <c r="N10" s="43">
        <f t="shared" si="0"/>
        <v>1</v>
      </c>
      <c r="O10" s="33"/>
      <c r="P10" s="32">
        <v>8</v>
      </c>
      <c r="Q10" s="32">
        <v>8</v>
      </c>
      <c r="R10" s="32">
        <v>48</v>
      </c>
      <c r="S10" s="32"/>
      <c r="T10" s="32"/>
      <c r="U10" s="32"/>
      <c r="V10" s="32"/>
      <c r="W10" s="32"/>
      <c r="X10">
        <f t="shared" si="1"/>
        <v>1</v>
      </c>
      <c r="AC10">
        <v>8</v>
      </c>
      <c r="AD10">
        <v>96</v>
      </c>
      <c r="AF10">
        <v>96</v>
      </c>
      <c r="AI10">
        <v>8</v>
      </c>
      <c r="AJ10">
        <v>48</v>
      </c>
      <c r="AK10">
        <v>96</v>
      </c>
      <c r="AL10">
        <v>48</v>
      </c>
      <c r="AM10">
        <v>96</v>
      </c>
      <c r="AN10">
        <v>48</v>
      </c>
      <c r="AO10">
        <v>96</v>
      </c>
      <c r="AP10">
        <v>4</v>
      </c>
      <c r="AU10">
        <v>8</v>
      </c>
      <c r="AV10">
        <v>4</v>
      </c>
      <c r="AW10">
        <v>4</v>
      </c>
      <c r="AX10">
        <v>4</v>
      </c>
      <c r="AY10">
        <v>5</v>
      </c>
      <c r="AZ10">
        <v>6</v>
      </c>
      <c r="BC10">
        <v>8</v>
      </c>
      <c r="BD10">
        <v>6</v>
      </c>
      <c r="BE10">
        <v>6</v>
      </c>
      <c r="BF10">
        <v>6</v>
      </c>
      <c r="BG10">
        <v>9</v>
      </c>
      <c r="BH10">
        <v>11</v>
      </c>
      <c r="BK10" s="32">
        <v>8</v>
      </c>
      <c r="BL10">
        <v>5</v>
      </c>
      <c r="BM10">
        <v>1</v>
      </c>
    </row>
    <row r="11" spans="1:65" x14ac:dyDescent="0.45">
      <c r="A11" s="33"/>
      <c r="B11" s="32">
        <v>9</v>
      </c>
      <c r="C11" s="32">
        <v>9</v>
      </c>
      <c r="D11" s="32">
        <v>48</v>
      </c>
      <c r="E11" s="32"/>
      <c r="F11" s="32"/>
      <c r="G11" s="32"/>
      <c r="H11" s="32"/>
      <c r="I11" s="32"/>
      <c r="J11" s="32"/>
      <c r="K11" s="32"/>
      <c r="L11" s="32"/>
      <c r="M11" s="39"/>
      <c r="N11" s="43">
        <f t="shared" si="0"/>
        <v>1</v>
      </c>
      <c r="O11" s="33"/>
      <c r="P11" s="32">
        <v>9</v>
      </c>
      <c r="Q11" s="32">
        <v>9</v>
      </c>
      <c r="R11" s="32">
        <v>48</v>
      </c>
      <c r="S11" s="32"/>
      <c r="T11" s="32"/>
      <c r="U11" s="32"/>
      <c r="V11" s="32"/>
      <c r="W11" s="32"/>
      <c r="X11">
        <f t="shared" si="1"/>
        <v>1</v>
      </c>
      <c r="AC11">
        <v>9</v>
      </c>
      <c r="AD11">
        <v>96</v>
      </c>
      <c r="AF11">
        <v>96</v>
      </c>
      <c r="AI11">
        <v>9</v>
      </c>
      <c r="AJ11">
        <v>48</v>
      </c>
      <c r="AK11">
        <v>96</v>
      </c>
      <c r="AL11">
        <v>48</v>
      </c>
      <c r="AM11">
        <v>96</v>
      </c>
      <c r="AN11">
        <v>48</v>
      </c>
      <c r="AO11">
        <v>96</v>
      </c>
      <c r="AP11">
        <v>4</v>
      </c>
      <c r="AU11">
        <v>9</v>
      </c>
      <c r="AV11">
        <v>4</v>
      </c>
      <c r="AW11">
        <v>4</v>
      </c>
      <c r="AX11">
        <v>4</v>
      </c>
      <c r="AY11">
        <v>5</v>
      </c>
      <c r="AZ11">
        <v>6</v>
      </c>
      <c r="BC11">
        <v>9</v>
      </c>
      <c r="BD11">
        <v>6</v>
      </c>
      <c r="BE11">
        <v>6</v>
      </c>
      <c r="BF11">
        <v>6</v>
      </c>
      <c r="BG11">
        <v>9</v>
      </c>
      <c r="BH11">
        <v>11</v>
      </c>
      <c r="BK11" s="32">
        <v>9</v>
      </c>
      <c r="BL11">
        <v>5</v>
      </c>
      <c r="BM11">
        <v>1</v>
      </c>
    </row>
    <row r="12" spans="1:65" x14ac:dyDescent="0.45">
      <c r="A12" s="33"/>
      <c r="B12" s="32">
        <v>10</v>
      </c>
      <c r="C12" s="32">
        <v>10</v>
      </c>
      <c r="D12" s="32">
        <v>48</v>
      </c>
      <c r="E12" s="32"/>
      <c r="F12" s="32"/>
      <c r="G12" s="32"/>
      <c r="H12" s="32"/>
      <c r="I12" s="32"/>
      <c r="J12" s="32"/>
      <c r="K12" s="32"/>
      <c r="L12" s="32"/>
      <c r="M12" s="39"/>
      <c r="N12" s="43">
        <f t="shared" si="0"/>
        <v>1</v>
      </c>
      <c r="O12" s="33"/>
      <c r="P12" s="32">
        <v>10</v>
      </c>
      <c r="Q12" s="32">
        <v>10</v>
      </c>
      <c r="R12" s="32">
        <v>48</v>
      </c>
      <c r="S12" s="32"/>
      <c r="T12" s="32"/>
      <c r="U12" s="32"/>
      <c r="V12" s="32"/>
      <c r="W12" s="32"/>
      <c r="X12">
        <f t="shared" si="1"/>
        <v>1</v>
      </c>
      <c r="AC12">
        <v>10</v>
      </c>
      <c r="AD12">
        <v>96</v>
      </c>
      <c r="AF12">
        <v>96</v>
      </c>
      <c r="AI12">
        <v>10</v>
      </c>
      <c r="AJ12">
        <v>48</v>
      </c>
      <c r="AK12">
        <v>96</v>
      </c>
      <c r="AL12">
        <v>48</v>
      </c>
      <c r="AM12">
        <v>96</v>
      </c>
      <c r="AN12">
        <v>48</v>
      </c>
      <c r="AO12">
        <v>96</v>
      </c>
      <c r="AP12">
        <v>4</v>
      </c>
      <c r="AU12">
        <v>10</v>
      </c>
      <c r="AV12">
        <v>4</v>
      </c>
      <c r="AW12">
        <v>4</v>
      </c>
      <c r="AX12">
        <v>4</v>
      </c>
      <c r="AY12">
        <v>5</v>
      </c>
      <c r="AZ12">
        <v>6</v>
      </c>
      <c r="BC12">
        <v>10</v>
      </c>
      <c r="BD12">
        <v>6</v>
      </c>
      <c r="BE12">
        <v>6</v>
      </c>
      <c r="BF12">
        <v>6</v>
      </c>
      <c r="BG12">
        <v>9</v>
      </c>
      <c r="BH12">
        <v>11</v>
      </c>
      <c r="BK12" s="32">
        <v>10</v>
      </c>
      <c r="BL12">
        <v>5</v>
      </c>
      <c r="BM12">
        <v>1</v>
      </c>
    </row>
    <row r="13" spans="1:65" x14ac:dyDescent="0.45">
      <c r="A13" s="33"/>
      <c r="B13" s="32">
        <v>11</v>
      </c>
      <c r="C13" s="32">
        <v>11</v>
      </c>
      <c r="D13" s="32">
        <v>48</v>
      </c>
      <c r="E13" s="32"/>
      <c r="F13" s="32"/>
      <c r="G13" s="32"/>
      <c r="H13" s="32"/>
      <c r="I13" s="32"/>
      <c r="J13" s="32"/>
      <c r="K13" s="32"/>
      <c r="L13" s="32"/>
      <c r="M13" s="39"/>
      <c r="N13" s="43">
        <f t="shared" si="0"/>
        <v>1</v>
      </c>
      <c r="O13" s="33"/>
      <c r="P13" s="32">
        <v>11</v>
      </c>
      <c r="Q13" s="32">
        <v>11</v>
      </c>
      <c r="R13" s="32">
        <v>48</v>
      </c>
      <c r="S13" s="32"/>
      <c r="T13" s="32"/>
      <c r="U13" s="32"/>
      <c r="V13" s="32"/>
      <c r="W13" s="32"/>
      <c r="X13">
        <f t="shared" si="1"/>
        <v>1</v>
      </c>
      <c r="AC13">
        <v>11</v>
      </c>
      <c r="AD13">
        <v>96</v>
      </c>
      <c r="AF13">
        <v>96</v>
      </c>
      <c r="AI13">
        <v>11</v>
      </c>
      <c r="AJ13">
        <v>48</v>
      </c>
      <c r="AK13">
        <v>96</v>
      </c>
      <c r="AL13">
        <v>48</v>
      </c>
      <c r="AM13">
        <v>96</v>
      </c>
      <c r="AN13">
        <v>48</v>
      </c>
      <c r="AO13">
        <v>96</v>
      </c>
      <c r="AP13">
        <v>4</v>
      </c>
      <c r="AU13">
        <v>11</v>
      </c>
      <c r="AV13">
        <v>4</v>
      </c>
      <c r="AW13">
        <v>4</v>
      </c>
      <c r="AX13">
        <v>4</v>
      </c>
      <c r="AY13">
        <v>5</v>
      </c>
      <c r="AZ13">
        <v>6</v>
      </c>
      <c r="BC13">
        <v>11</v>
      </c>
      <c r="BD13">
        <v>6</v>
      </c>
      <c r="BE13">
        <v>6</v>
      </c>
      <c r="BF13">
        <v>6</v>
      </c>
      <c r="BG13">
        <v>9</v>
      </c>
      <c r="BH13">
        <v>11</v>
      </c>
      <c r="BK13" s="32">
        <v>11</v>
      </c>
      <c r="BL13">
        <v>5</v>
      </c>
      <c r="BM13">
        <v>1</v>
      </c>
    </row>
    <row r="14" spans="1:65" x14ac:dyDescent="0.45">
      <c r="A14" s="33">
        <v>1</v>
      </c>
      <c r="B14" s="32"/>
      <c r="C14" s="32">
        <v>12</v>
      </c>
      <c r="D14" s="32">
        <v>48</v>
      </c>
      <c r="E14" s="32"/>
      <c r="F14" s="32"/>
      <c r="G14" s="32"/>
      <c r="H14" s="32"/>
      <c r="I14" s="32"/>
      <c r="J14" s="32"/>
      <c r="K14" s="32"/>
      <c r="L14" s="32"/>
      <c r="M14" s="39"/>
      <c r="N14" s="43">
        <f t="shared" si="0"/>
        <v>1</v>
      </c>
      <c r="O14" s="33">
        <v>1</v>
      </c>
      <c r="P14" s="32"/>
      <c r="Q14" s="32">
        <v>12</v>
      </c>
      <c r="R14" s="32">
        <v>48</v>
      </c>
      <c r="S14" s="32"/>
      <c r="T14" s="32"/>
      <c r="U14" s="32"/>
      <c r="V14" s="32"/>
      <c r="W14" s="32"/>
      <c r="X14">
        <f t="shared" si="1"/>
        <v>1</v>
      </c>
      <c r="AC14">
        <v>12</v>
      </c>
      <c r="AD14">
        <v>96</v>
      </c>
      <c r="AF14">
        <v>96</v>
      </c>
      <c r="AI14">
        <v>12</v>
      </c>
      <c r="AJ14">
        <v>48</v>
      </c>
      <c r="AK14">
        <v>96</v>
      </c>
      <c r="AL14">
        <v>48</v>
      </c>
      <c r="AM14">
        <v>96</v>
      </c>
      <c r="AN14">
        <v>48</v>
      </c>
      <c r="AO14">
        <v>96</v>
      </c>
      <c r="AP14">
        <v>4</v>
      </c>
      <c r="AU14">
        <v>12</v>
      </c>
      <c r="AV14">
        <v>4</v>
      </c>
      <c r="AW14">
        <v>4</v>
      </c>
      <c r="AX14">
        <v>4</v>
      </c>
      <c r="AY14">
        <v>5</v>
      </c>
      <c r="AZ14">
        <v>6</v>
      </c>
      <c r="BC14">
        <v>12</v>
      </c>
      <c r="BD14">
        <v>6</v>
      </c>
      <c r="BE14">
        <v>6</v>
      </c>
      <c r="BF14">
        <v>6</v>
      </c>
      <c r="BG14">
        <v>9</v>
      </c>
      <c r="BH14">
        <v>11</v>
      </c>
      <c r="BK14" s="32">
        <v>12</v>
      </c>
      <c r="BL14">
        <v>5</v>
      </c>
      <c r="BM14">
        <v>1</v>
      </c>
    </row>
    <row r="15" spans="1:65" x14ac:dyDescent="0.45">
      <c r="A15" s="33"/>
      <c r="B15" s="32">
        <v>1</v>
      </c>
      <c r="C15" s="32">
        <v>13</v>
      </c>
      <c r="D15" s="32">
        <v>48</v>
      </c>
      <c r="E15" s="32"/>
      <c r="F15" s="32"/>
      <c r="G15" s="32"/>
      <c r="H15" s="32"/>
      <c r="I15" s="32"/>
      <c r="J15" s="32"/>
      <c r="K15" s="32"/>
      <c r="L15" s="32"/>
      <c r="M15" s="39"/>
      <c r="N15" s="43">
        <f t="shared" si="0"/>
        <v>1</v>
      </c>
      <c r="O15" s="33"/>
      <c r="P15" s="32">
        <v>1</v>
      </c>
      <c r="Q15" s="32">
        <v>13</v>
      </c>
      <c r="R15" s="32">
        <v>48</v>
      </c>
      <c r="S15" s="32"/>
      <c r="T15" s="32"/>
      <c r="U15" s="32"/>
      <c r="V15" s="32"/>
      <c r="W15" s="32"/>
      <c r="X15">
        <f t="shared" si="1"/>
        <v>1</v>
      </c>
      <c r="AC15">
        <v>13</v>
      </c>
      <c r="AD15">
        <v>96</v>
      </c>
      <c r="AF15">
        <v>96</v>
      </c>
      <c r="AI15">
        <v>13</v>
      </c>
      <c r="AJ15">
        <v>48</v>
      </c>
      <c r="AK15">
        <v>96</v>
      </c>
      <c r="AL15">
        <v>48</v>
      </c>
      <c r="AM15">
        <v>96</v>
      </c>
      <c r="AN15">
        <v>48</v>
      </c>
      <c r="AO15">
        <v>96</v>
      </c>
      <c r="AP15">
        <v>4</v>
      </c>
      <c r="AU15">
        <v>13</v>
      </c>
      <c r="AV15">
        <v>4</v>
      </c>
      <c r="AW15">
        <v>4</v>
      </c>
      <c r="AX15">
        <v>4</v>
      </c>
      <c r="AY15">
        <v>5</v>
      </c>
      <c r="AZ15">
        <v>6</v>
      </c>
      <c r="BC15">
        <v>13</v>
      </c>
      <c r="BD15">
        <v>6</v>
      </c>
      <c r="BE15">
        <v>6</v>
      </c>
      <c r="BF15">
        <v>6</v>
      </c>
      <c r="BG15">
        <v>9</v>
      </c>
      <c r="BH15">
        <v>11</v>
      </c>
      <c r="BK15" s="32">
        <v>13</v>
      </c>
      <c r="BL15">
        <v>5</v>
      </c>
      <c r="BM15">
        <v>1</v>
      </c>
    </row>
    <row r="16" spans="1:65" x14ac:dyDescent="0.45">
      <c r="A16" s="33"/>
      <c r="B16" s="32">
        <v>2</v>
      </c>
      <c r="C16" s="32">
        <v>14</v>
      </c>
      <c r="D16" s="32">
        <v>48</v>
      </c>
      <c r="E16" s="32"/>
      <c r="F16" s="32"/>
      <c r="G16" s="32"/>
      <c r="H16" s="32"/>
      <c r="I16" s="32"/>
      <c r="J16" s="32"/>
      <c r="K16" s="32"/>
      <c r="L16" s="32"/>
      <c r="M16" s="39"/>
      <c r="N16" s="43">
        <f t="shared" si="0"/>
        <v>1</v>
      </c>
      <c r="O16" s="33"/>
      <c r="P16" s="32">
        <v>2</v>
      </c>
      <c r="Q16" s="32">
        <v>14</v>
      </c>
      <c r="R16" s="32">
        <v>48</v>
      </c>
      <c r="S16" s="32"/>
      <c r="T16" s="32"/>
      <c r="U16" s="32"/>
      <c r="V16" s="32"/>
      <c r="W16" s="32"/>
      <c r="X16">
        <f t="shared" si="1"/>
        <v>1</v>
      </c>
      <c r="AC16">
        <v>14</v>
      </c>
      <c r="AD16">
        <v>96</v>
      </c>
      <c r="AF16">
        <v>96</v>
      </c>
      <c r="AI16">
        <v>14</v>
      </c>
      <c r="AJ16">
        <v>48</v>
      </c>
      <c r="AK16">
        <v>96</v>
      </c>
      <c r="AL16">
        <v>48</v>
      </c>
      <c r="AM16">
        <v>96</v>
      </c>
      <c r="AN16">
        <v>48</v>
      </c>
      <c r="AO16">
        <v>96</v>
      </c>
      <c r="AP16">
        <v>4</v>
      </c>
      <c r="AU16">
        <v>14</v>
      </c>
      <c r="AV16">
        <v>4</v>
      </c>
      <c r="AW16">
        <v>4</v>
      </c>
      <c r="AX16">
        <v>4</v>
      </c>
      <c r="AY16">
        <v>5</v>
      </c>
      <c r="AZ16">
        <v>6</v>
      </c>
      <c r="BC16">
        <v>14</v>
      </c>
      <c r="BD16">
        <v>6</v>
      </c>
      <c r="BE16">
        <v>6</v>
      </c>
      <c r="BF16">
        <v>6</v>
      </c>
      <c r="BG16">
        <v>9</v>
      </c>
      <c r="BH16">
        <v>11</v>
      </c>
      <c r="BK16" s="32">
        <v>14</v>
      </c>
      <c r="BL16">
        <v>5</v>
      </c>
      <c r="BM16">
        <v>1</v>
      </c>
    </row>
    <row r="17" spans="1:65" x14ac:dyDescent="0.45">
      <c r="A17" s="33"/>
      <c r="B17" s="32">
        <v>3</v>
      </c>
      <c r="C17" s="32">
        <v>15</v>
      </c>
      <c r="D17" s="32">
        <v>48</v>
      </c>
      <c r="E17" s="32"/>
      <c r="F17" s="32"/>
      <c r="G17" s="32"/>
      <c r="H17" s="32"/>
      <c r="I17" s="32"/>
      <c r="J17" s="32"/>
      <c r="K17" s="32"/>
      <c r="L17" s="32"/>
      <c r="M17" s="39"/>
      <c r="N17" s="43">
        <f t="shared" si="0"/>
        <v>1</v>
      </c>
      <c r="O17" s="33"/>
      <c r="P17" s="32">
        <v>3</v>
      </c>
      <c r="Q17" s="32">
        <v>15</v>
      </c>
      <c r="R17" s="32">
        <v>48</v>
      </c>
      <c r="S17" s="32"/>
      <c r="T17" s="32"/>
      <c r="U17" s="32"/>
      <c r="V17" s="32"/>
      <c r="W17" s="32"/>
      <c r="X17">
        <f t="shared" si="1"/>
        <v>1</v>
      </c>
      <c r="AC17">
        <v>15</v>
      </c>
      <c r="AD17">
        <v>96</v>
      </c>
      <c r="AF17">
        <v>96</v>
      </c>
      <c r="AI17">
        <v>15</v>
      </c>
      <c r="AJ17">
        <v>48</v>
      </c>
      <c r="AK17">
        <v>96</v>
      </c>
      <c r="AL17">
        <v>48</v>
      </c>
      <c r="AM17">
        <v>96</v>
      </c>
      <c r="AN17">
        <v>48</v>
      </c>
      <c r="AO17">
        <v>96</v>
      </c>
      <c r="AP17">
        <v>4</v>
      </c>
      <c r="AU17">
        <v>15</v>
      </c>
      <c r="AV17">
        <v>4</v>
      </c>
      <c r="AW17">
        <v>4</v>
      </c>
      <c r="AX17">
        <v>4</v>
      </c>
      <c r="AY17">
        <v>5</v>
      </c>
      <c r="AZ17">
        <v>6</v>
      </c>
      <c r="BC17">
        <v>15</v>
      </c>
      <c r="BD17">
        <v>6</v>
      </c>
      <c r="BE17">
        <v>6</v>
      </c>
      <c r="BF17">
        <v>6</v>
      </c>
      <c r="BG17">
        <v>9</v>
      </c>
      <c r="BH17">
        <v>11</v>
      </c>
      <c r="BK17" s="32">
        <v>15</v>
      </c>
      <c r="BL17">
        <v>5</v>
      </c>
      <c r="BM17">
        <v>1</v>
      </c>
    </row>
    <row r="18" spans="1:65" x14ac:dyDescent="0.45">
      <c r="A18" s="33"/>
      <c r="B18" s="32">
        <v>4</v>
      </c>
      <c r="C18" s="32">
        <v>16</v>
      </c>
      <c r="D18" s="32">
        <v>48</v>
      </c>
      <c r="E18" s="32"/>
      <c r="F18" s="32"/>
      <c r="G18" s="32"/>
      <c r="H18" s="32"/>
      <c r="I18" s="32"/>
      <c r="J18" s="32"/>
      <c r="K18" s="32"/>
      <c r="L18" s="32"/>
      <c r="M18" s="39"/>
      <c r="N18" s="43">
        <f t="shared" si="0"/>
        <v>1</v>
      </c>
      <c r="O18" s="33"/>
      <c r="P18" s="32">
        <v>4</v>
      </c>
      <c r="Q18" s="32">
        <v>16</v>
      </c>
      <c r="R18" s="32">
        <v>48</v>
      </c>
      <c r="S18" s="32"/>
      <c r="T18" s="32"/>
      <c r="U18" s="32"/>
      <c r="V18" s="32"/>
      <c r="W18" s="32"/>
      <c r="X18">
        <f t="shared" si="1"/>
        <v>1</v>
      </c>
      <c r="AC18">
        <v>16</v>
      </c>
      <c r="AD18">
        <v>96</v>
      </c>
      <c r="AF18">
        <v>96</v>
      </c>
      <c r="AI18">
        <v>16</v>
      </c>
      <c r="AJ18">
        <v>48</v>
      </c>
      <c r="AK18">
        <v>96</v>
      </c>
      <c r="AL18">
        <v>48</v>
      </c>
      <c r="AM18">
        <v>96</v>
      </c>
      <c r="AN18">
        <v>48</v>
      </c>
      <c r="AO18">
        <v>96</v>
      </c>
      <c r="AP18">
        <v>4</v>
      </c>
      <c r="AU18">
        <v>16</v>
      </c>
      <c r="AV18">
        <v>4</v>
      </c>
      <c r="AW18">
        <v>4</v>
      </c>
      <c r="AX18">
        <v>4</v>
      </c>
      <c r="AY18">
        <v>5</v>
      </c>
      <c r="AZ18">
        <v>6</v>
      </c>
      <c r="BC18">
        <v>16</v>
      </c>
      <c r="BD18">
        <v>6</v>
      </c>
      <c r="BE18">
        <v>6</v>
      </c>
      <c r="BF18">
        <v>6</v>
      </c>
      <c r="BG18">
        <v>9</v>
      </c>
      <c r="BH18">
        <v>11</v>
      </c>
      <c r="BK18" s="32">
        <v>16</v>
      </c>
      <c r="BL18">
        <v>5</v>
      </c>
      <c r="BM18">
        <v>1</v>
      </c>
    </row>
    <row r="19" spans="1:65" x14ac:dyDescent="0.45">
      <c r="A19" s="33"/>
      <c r="B19" s="32">
        <v>5</v>
      </c>
      <c r="C19" s="32">
        <v>17</v>
      </c>
      <c r="D19" s="32">
        <v>48</v>
      </c>
      <c r="E19" s="32"/>
      <c r="F19" s="32"/>
      <c r="G19" s="32"/>
      <c r="H19" s="32"/>
      <c r="I19" s="32"/>
      <c r="J19" s="32"/>
      <c r="K19" s="32"/>
      <c r="L19" s="32"/>
      <c r="M19" s="39"/>
      <c r="N19" s="43">
        <f t="shared" si="0"/>
        <v>1</v>
      </c>
      <c r="O19" s="33"/>
      <c r="P19" s="32">
        <v>5</v>
      </c>
      <c r="Q19" s="32">
        <v>17</v>
      </c>
      <c r="R19" s="32">
        <v>48</v>
      </c>
      <c r="S19" s="32"/>
      <c r="T19" s="32"/>
      <c r="U19" s="32"/>
      <c r="V19" s="32"/>
      <c r="W19" s="32"/>
      <c r="X19">
        <f t="shared" si="1"/>
        <v>1</v>
      </c>
      <c r="AC19">
        <v>17</v>
      </c>
      <c r="AD19">
        <v>96</v>
      </c>
      <c r="AF19">
        <v>96</v>
      </c>
      <c r="AI19">
        <v>17</v>
      </c>
      <c r="AJ19">
        <v>48</v>
      </c>
      <c r="AK19">
        <v>96</v>
      </c>
      <c r="AL19">
        <v>48</v>
      </c>
      <c r="AM19">
        <v>96</v>
      </c>
      <c r="AN19">
        <v>48</v>
      </c>
      <c r="AO19">
        <v>96</v>
      </c>
      <c r="AP19">
        <v>4</v>
      </c>
      <c r="AU19">
        <v>17</v>
      </c>
      <c r="AV19">
        <v>4</v>
      </c>
      <c r="AW19">
        <v>4</v>
      </c>
      <c r="AX19">
        <v>4</v>
      </c>
      <c r="AY19">
        <v>5</v>
      </c>
      <c r="AZ19">
        <v>6</v>
      </c>
      <c r="BC19">
        <v>17</v>
      </c>
      <c r="BD19">
        <v>6</v>
      </c>
      <c r="BE19">
        <v>6</v>
      </c>
      <c r="BF19">
        <v>6</v>
      </c>
      <c r="BG19">
        <v>9</v>
      </c>
      <c r="BH19">
        <v>11</v>
      </c>
      <c r="BK19" s="32">
        <v>17</v>
      </c>
      <c r="BL19">
        <v>5</v>
      </c>
      <c r="BM19">
        <v>1</v>
      </c>
    </row>
    <row r="20" spans="1:65" x14ac:dyDescent="0.45">
      <c r="A20" s="33"/>
      <c r="B20" s="32">
        <v>6</v>
      </c>
      <c r="C20" s="32">
        <v>18</v>
      </c>
      <c r="D20" s="32">
        <v>48</v>
      </c>
      <c r="E20" s="32"/>
      <c r="F20" s="32"/>
      <c r="G20" s="32"/>
      <c r="H20" s="32"/>
      <c r="I20" s="32"/>
      <c r="J20" s="32"/>
      <c r="K20" s="32"/>
      <c r="L20" s="32"/>
      <c r="M20" s="39"/>
      <c r="N20" s="43">
        <f t="shared" si="0"/>
        <v>1</v>
      </c>
      <c r="O20" s="33"/>
      <c r="P20" s="32">
        <v>6</v>
      </c>
      <c r="Q20" s="32">
        <v>18</v>
      </c>
      <c r="R20" s="32">
        <v>48</v>
      </c>
      <c r="S20" s="32"/>
      <c r="T20" s="32"/>
      <c r="U20" s="32"/>
      <c r="V20" s="32"/>
      <c r="W20" s="32"/>
      <c r="X20">
        <f t="shared" si="1"/>
        <v>1</v>
      </c>
      <c r="AC20">
        <v>18</v>
      </c>
      <c r="AD20">
        <v>96</v>
      </c>
      <c r="AF20">
        <v>96</v>
      </c>
      <c r="AI20">
        <v>18</v>
      </c>
      <c r="AJ20">
        <v>48</v>
      </c>
      <c r="AK20">
        <v>96</v>
      </c>
      <c r="AL20">
        <v>48</v>
      </c>
      <c r="AM20">
        <v>96</v>
      </c>
      <c r="AN20">
        <v>48</v>
      </c>
      <c r="AO20">
        <v>96</v>
      </c>
      <c r="AP20">
        <v>4</v>
      </c>
      <c r="AU20">
        <v>18</v>
      </c>
      <c r="AV20">
        <v>4</v>
      </c>
      <c r="AW20">
        <v>4</v>
      </c>
      <c r="AX20">
        <v>4</v>
      </c>
      <c r="AY20">
        <v>5</v>
      </c>
      <c r="AZ20">
        <v>6</v>
      </c>
      <c r="BC20">
        <v>18</v>
      </c>
      <c r="BD20">
        <v>6</v>
      </c>
      <c r="BE20">
        <v>6</v>
      </c>
      <c r="BF20">
        <v>6</v>
      </c>
      <c r="BG20">
        <v>9</v>
      </c>
      <c r="BH20">
        <v>11</v>
      </c>
      <c r="BK20" s="32">
        <v>18</v>
      </c>
      <c r="BL20">
        <v>5</v>
      </c>
      <c r="BM20">
        <v>1</v>
      </c>
    </row>
    <row r="21" spans="1:65" x14ac:dyDescent="0.45">
      <c r="A21" s="33"/>
      <c r="B21" s="32">
        <v>7</v>
      </c>
      <c r="C21" s="32">
        <v>19</v>
      </c>
      <c r="D21" s="32">
        <v>48</v>
      </c>
      <c r="E21" s="32"/>
      <c r="F21" s="32"/>
      <c r="G21" s="32"/>
      <c r="H21" s="32"/>
      <c r="I21" s="32"/>
      <c r="J21" s="32"/>
      <c r="K21" s="32"/>
      <c r="L21" s="32"/>
      <c r="M21" s="39"/>
      <c r="N21" s="43">
        <f t="shared" si="0"/>
        <v>1</v>
      </c>
      <c r="O21" s="33"/>
      <c r="P21" s="32">
        <v>7</v>
      </c>
      <c r="Q21" s="32">
        <v>19</v>
      </c>
      <c r="R21" s="32">
        <v>48</v>
      </c>
      <c r="S21" s="32"/>
      <c r="T21" s="32"/>
      <c r="U21" s="32"/>
      <c r="V21" s="32"/>
      <c r="W21" s="32"/>
      <c r="X21">
        <f t="shared" si="1"/>
        <v>1</v>
      </c>
      <c r="AC21">
        <v>19</v>
      </c>
      <c r="AD21">
        <v>96</v>
      </c>
      <c r="AF21">
        <v>96</v>
      </c>
      <c r="AI21">
        <v>19</v>
      </c>
      <c r="AJ21">
        <v>48</v>
      </c>
      <c r="AK21">
        <v>96</v>
      </c>
      <c r="AL21">
        <v>48</v>
      </c>
      <c r="AM21">
        <v>96</v>
      </c>
      <c r="AN21">
        <v>48</v>
      </c>
      <c r="AO21">
        <v>96</v>
      </c>
      <c r="AP21">
        <v>4</v>
      </c>
      <c r="AU21">
        <v>19</v>
      </c>
      <c r="AV21">
        <v>4</v>
      </c>
      <c r="AW21">
        <v>4</v>
      </c>
      <c r="AX21">
        <v>4</v>
      </c>
      <c r="AY21">
        <v>5</v>
      </c>
      <c r="AZ21">
        <v>6</v>
      </c>
      <c r="BC21">
        <v>19</v>
      </c>
      <c r="BD21">
        <v>6</v>
      </c>
      <c r="BE21">
        <v>6</v>
      </c>
      <c r="BF21">
        <v>6</v>
      </c>
      <c r="BG21">
        <v>9</v>
      </c>
      <c r="BH21">
        <v>11</v>
      </c>
      <c r="BK21" s="32">
        <v>19</v>
      </c>
      <c r="BL21">
        <v>5</v>
      </c>
      <c r="BM21">
        <v>1</v>
      </c>
    </row>
    <row r="22" spans="1:65" x14ac:dyDescent="0.45">
      <c r="A22" s="33"/>
      <c r="B22" s="32">
        <v>8</v>
      </c>
      <c r="C22" s="32">
        <v>20</v>
      </c>
      <c r="D22" s="32">
        <v>48</v>
      </c>
      <c r="E22" s="32"/>
      <c r="F22" s="32"/>
      <c r="G22" s="32"/>
      <c r="H22" s="32"/>
      <c r="I22" s="32"/>
      <c r="J22" s="32"/>
      <c r="K22" s="32"/>
      <c r="L22" s="32"/>
      <c r="M22" s="39"/>
      <c r="N22" s="43">
        <f t="shared" si="0"/>
        <v>1</v>
      </c>
      <c r="O22" s="33"/>
      <c r="P22" s="32">
        <v>8</v>
      </c>
      <c r="Q22" s="32">
        <v>20</v>
      </c>
      <c r="R22" s="32">
        <v>48</v>
      </c>
      <c r="S22" s="32"/>
      <c r="T22" s="32"/>
      <c r="U22" s="32"/>
      <c r="V22" s="32"/>
      <c r="W22" s="32"/>
      <c r="X22">
        <f t="shared" si="1"/>
        <v>1</v>
      </c>
      <c r="AC22">
        <v>20</v>
      </c>
      <c r="AD22">
        <v>96</v>
      </c>
      <c r="AF22">
        <v>96</v>
      </c>
      <c r="AI22">
        <v>20</v>
      </c>
      <c r="AJ22">
        <v>48</v>
      </c>
      <c r="AK22">
        <v>96</v>
      </c>
      <c r="AL22">
        <v>48</v>
      </c>
      <c r="AM22">
        <v>96</v>
      </c>
      <c r="AN22">
        <v>48</v>
      </c>
      <c r="AO22">
        <v>96</v>
      </c>
      <c r="AP22">
        <v>4</v>
      </c>
      <c r="AU22">
        <v>20</v>
      </c>
      <c r="AV22">
        <v>4</v>
      </c>
      <c r="AW22">
        <v>4</v>
      </c>
      <c r="AX22">
        <v>4</v>
      </c>
      <c r="AY22">
        <v>5</v>
      </c>
      <c r="AZ22">
        <v>6</v>
      </c>
      <c r="BC22">
        <v>20</v>
      </c>
      <c r="BD22">
        <v>6</v>
      </c>
      <c r="BE22">
        <v>6</v>
      </c>
      <c r="BF22">
        <v>6</v>
      </c>
      <c r="BG22">
        <v>9</v>
      </c>
      <c r="BH22">
        <v>11</v>
      </c>
      <c r="BK22" s="32">
        <v>20</v>
      </c>
      <c r="BL22">
        <v>5</v>
      </c>
      <c r="BM22">
        <v>1</v>
      </c>
    </row>
    <row r="23" spans="1:65" x14ac:dyDescent="0.45">
      <c r="A23" s="33"/>
      <c r="B23" s="32">
        <v>9</v>
      </c>
      <c r="C23" s="32">
        <v>21</v>
      </c>
      <c r="D23" s="32">
        <v>48</v>
      </c>
      <c r="E23" s="32"/>
      <c r="F23" s="32"/>
      <c r="G23" s="32"/>
      <c r="H23" s="32"/>
      <c r="I23" s="32"/>
      <c r="J23" s="32"/>
      <c r="K23" s="32"/>
      <c r="L23" s="32"/>
      <c r="M23" s="39"/>
      <c r="N23" s="43">
        <f t="shared" si="0"/>
        <v>1</v>
      </c>
      <c r="O23" s="33"/>
      <c r="P23" s="32">
        <v>9</v>
      </c>
      <c r="Q23" s="32">
        <v>21</v>
      </c>
      <c r="R23" s="32">
        <v>48</v>
      </c>
      <c r="S23" s="32"/>
      <c r="T23" s="32"/>
      <c r="U23" s="32"/>
      <c r="V23" s="32"/>
      <c r="W23" s="32"/>
      <c r="X23">
        <f t="shared" si="1"/>
        <v>1</v>
      </c>
      <c r="AC23">
        <v>21</v>
      </c>
      <c r="AD23">
        <v>96</v>
      </c>
      <c r="AF23">
        <v>96</v>
      </c>
      <c r="AI23">
        <v>21</v>
      </c>
      <c r="AJ23">
        <v>48</v>
      </c>
      <c r="AK23">
        <v>96</v>
      </c>
      <c r="AL23">
        <v>48</v>
      </c>
      <c r="AM23">
        <v>96</v>
      </c>
      <c r="AN23">
        <v>48</v>
      </c>
      <c r="AO23">
        <v>96</v>
      </c>
      <c r="AP23">
        <v>4</v>
      </c>
      <c r="AU23">
        <v>21</v>
      </c>
      <c r="AV23">
        <v>4</v>
      </c>
      <c r="AW23">
        <v>4</v>
      </c>
      <c r="AX23">
        <v>4</v>
      </c>
      <c r="AY23">
        <v>5</v>
      </c>
      <c r="AZ23">
        <v>6</v>
      </c>
      <c r="BC23">
        <v>21</v>
      </c>
      <c r="BD23">
        <v>6</v>
      </c>
      <c r="BE23">
        <v>6</v>
      </c>
      <c r="BF23">
        <v>6</v>
      </c>
      <c r="BG23">
        <v>9</v>
      </c>
      <c r="BH23">
        <v>11</v>
      </c>
      <c r="BK23" s="32">
        <v>21</v>
      </c>
      <c r="BL23">
        <v>5</v>
      </c>
      <c r="BM23">
        <v>1</v>
      </c>
    </row>
    <row r="24" spans="1:65" x14ac:dyDescent="0.45">
      <c r="A24" s="33"/>
      <c r="B24" s="32">
        <v>10</v>
      </c>
      <c r="C24" s="32">
        <v>22</v>
      </c>
      <c r="D24" s="32">
        <v>48</v>
      </c>
      <c r="E24" s="32"/>
      <c r="F24" s="32"/>
      <c r="G24" s="32"/>
      <c r="H24" s="32"/>
      <c r="I24" s="32"/>
      <c r="J24" s="32"/>
      <c r="K24" s="32"/>
      <c r="L24" s="32"/>
      <c r="M24" s="39"/>
      <c r="N24" s="43">
        <f t="shared" si="0"/>
        <v>1</v>
      </c>
      <c r="O24" s="33"/>
      <c r="P24" s="32">
        <v>10</v>
      </c>
      <c r="Q24" s="32">
        <v>22</v>
      </c>
      <c r="R24" s="32">
        <v>48</v>
      </c>
      <c r="S24" s="32"/>
      <c r="T24" s="32"/>
      <c r="U24" s="32"/>
      <c r="V24" s="32"/>
      <c r="W24" s="32"/>
      <c r="X24">
        <f t="shared" si="1"/>
        <v>1</v>
      </c>
      <c r="AC24">
        <v>22</v>
      </c>
      <c r="AD24">
        <v>96</v>
      </c>
      <c r="AF24">
        <v>96</v>
      </c>
      <c r="AI24">
        <v>22</v>
      </c>
      <c r="AJ24">
        <v>48</v>
      </c>
      <c r="AK24">
        <v>96</v>
      </c>
      <c r="AL24">
        <v>48</v>
      </c>
      <c r="AM24">
        <v>96</v>
      </c>
      <c r="AN24">
        <v>48</v>
      </c>
      <c r="AO24">
        <v>96</v>
      </c>
      <c r="AP24">
        <v>4</v>
      </c>
      <c r="AU24">
        <v>22</v>
      </c>
      <c r="AV24">
        <v>4</v>
      </c>
      <c r="AW24">
        <v>4</v>
      </c>
      <c r="AX24">
        <v>4</v>
      </c>
      <c r="AY24">
        <v>5</v>
      </c>
      <c r="AZ24">
        <v>6</v>
      </c>
      <c r="BC24">
        <v>22</v>
      </c>
      <c r="BD24">
        <v>6</v>
      </c>
      <c r="BE24">
        <v>6</v>
      </c>
      <c r="BF24">
        <v>6</v>
      </c>
      <c r="BG24">
        <v>9</v>
      </c>
      <c r="BH24">
        <v>11</v>
      </c>
      <c r="BK24" s="32">
        <v>22</v>
      </c>
      <c r="BL24">
        <v>5</v>
      </c>
      <c r="BM24">
        <v>1</v>
      </c>
    </row>
    <row r="25" spans="1:65" x14ac:dyDescent="0.45">
      <c r="A25" s="33"/>
      <c r="B25" s="32">
        <v>11</v>
      </c>
      <c r="C25" s="32">
        <v>23</v>
      </c>
      <c r="D25" s="32">
        <v>48</v>
      </c>
      <c r="E25" s="32"/>
      <c r="F25" s="32"/>
      <c r="G25" s="32"/>
      <c r="H25" s="32"/>
      <c r="I25" s="32"/>
      <c r="J25" s="32"/>
      <c r="K25" s="32"/>
      <c r="L25" s="32"/>
      <c r="M25" s="39"/>
      <c r="N25" s="43">
        <f t="shared" si="0"/>
        <v>1</v>
      </c>
      <c r="O25" s="33"/>
      <c r="P25" s="32">
        <v>11</v>
      </c>
      <c r="Q25" s="32">
        <v>23</v>
      </c>
      <c r="R25" s="32">
        <v>48</v>
      </c>
      <c r="S25" s="32"/>
      <c r="T25" s="32"/>
      <c r="U25" s="32"/>
      <c r="V25" s="32"/>
      <c r="W25" s="32"/>
      <c r="X25">
        <f t="shared" si="1"/>
        <v>1</v>
      </c>
      <c r="AC25">
        <v>23</v>
      </c>
      <c r="AD25">
        <v>96</v>
      </c>
      <c r="AF25">
        <v>96</v>
      </c>
      <c r="AI25">
        <v>23</v>
      </c>
      <c r="AJ25">
        <v>48</v>
      </c>
      <c r="AK25">
        <v>96</v>
      </c>
      <c r="AL25">
        <v>48</v>
      </c>
      <c r="AM25">
        <v>96</v>
      </c>
      <c r="AN25">
        <v>48</v>
      </c>
      <c r="AO25">
        <v>96</v>
      </c>
      <c r="AP25">
        <v>4</v>
      </c>
      <c r="AU25">
        <v>23</v>
      </c>
      <c r="AV25">
        <v>4</v>
      </c>
      <c r="AW25">
        <v>4</v>
      </c>
      <c r="AX25">
        <v>4</v>
      </c>
      <c r="AY25">
        <v>5</v>
      </c>
      <c r="AZ25">
        <v>6</v>
      </c>
      <c r="BC25">
        <v>23</v>
      </c>
      <c r="BD25">
        <v>6</v>
      </c>
      <c r="BE25">
        <v>6</v>
      </c>
      <c r="BF25">
        <v>6</v>
      </c>
      <c r="BG25">
        <v>9</v>
      </c>
      <c r="BH25">
        <v>11</v>
      </c>
      <c r="BK25" s="32">
        <v>23</v>
      </c>
      <c r="BL25">
        <v>5</v>
      </c>
      <c r="BM25">
        <v>1</v>
      </c>
    </row>
    <row r="26" spans="1:65" x14ac:dyDescent="0.45">
      <c r="A26" s="33">
        <v>2</v>
      </c>
      <c r="B26" s="32"/>
      <c r="C26" s="32">
        <v>24</v>
      </c>
      <c r="D26" s="32">
        <v>48</v>
      </c>
      <c r="E26" s="32"/>
      <c r="F26" s="32"/>
      <c r="G26" s="32"/>
      <c r="H26" s="32"/>
      <c r="I26" s="32"/>
      <c r="J26" s="32"/>
      <c r="K26" s="32"/>
      <c r="L26" s="32"/>
      <c r="M26" s="39"/>
      <c r="N26" s="43">
        <f t="shared" si="0"/>
        <v>1</v>
      </c>
      <c r="O26" s="33">
        <v>2</v>
      </c>
      <c r="P26" s="32"/>
      <c r="Q26" s="32">
        <v>24</v>
      </c>
      <c r="R26" s="32">
        <v>48</v>
      </c>
      <c r="S26" s="32"/>
      <c r="T26" s="32"/>
      <c r="U26" s="32"/>
      <c r="V26" s="32"/>
      <c r="W26" s="32"/>
      <c r="X26">
        <f t="shared" si="1"/>
        <v>1</v>
      </c>
      <c r="AC26">
        <v>24</v>
      </c>
      <c r="AD26">
        <v>96</v>
      </c>
      <c r="AF26">
        <v>96</v>
      </c>
      <c r="AI26">
        <v>24</v>
      </c>
      <c r="AJ26">
        <v>48</v>
      </c>
      <c r="AK26">
        <v>96</v>
      </c>
      <c r="AL26">
        <v>48</v>
      </c>
      <c r="AM26">
        <v>96</v>
      </c>
      <c r="AN26">
        <v>48</v>
      </c>
      <c r="AO26">
        <v>96</v>
      </c>
      <c r="AP26">
        <v>4</v>
      </c>
      <c r="AU26">
        <v>24</v>
      </c>
      <c r="AV26">
        <v>4</v>
      </c>
      <c r="AW26">
        <v>4</v>
      </c>
      <c r="AX26">
        <v>4</v>
      </c>
      <c r="AY26">
        <v>5</v>
      </c>
      <c r="AZ26">
        <v>6</v>
      </c>
      <c r="BC26">
        <v>24</v>
      </c>
      <c r="BD26">
        <v>6</v>
      </c>
      <c r="BE26">
        <v>6</v>
      </c>
      <c r="BF26">
        <v>6</v>
      </c>
      <c r="BG26">
        <v>9</v>
      </c>
      <c r="BH26">
        <v>11</v>
      </c>
      <c r="BK26" s="32">
        <v>24</v>
      </c>
      <c r="BL26">
        <v>5</v>
      </c>
      <c r="BM26">
        <v>1</v>
      </c>
    </row>
    <row r="27" spans="1:65" x14ac:dyDescent="0.45">
      <c r="A27" s="33"/>
      <c r="B27" s="32">
        <v>1</v>
      </c>
      <c r="C27" s="32">
        <v>25</v>
      </c>
      <c r="D27" s="32">
        <v>48</v>
      </c>
      <c r="E27" s="32"/>
      <c r="F27" s="32"/>
      <c r="G27" s="32"/>
      <c r="H27" s="32"/>
      <c r="I27" s="32"/>
      <c r="J27" s="32"/>
      <c r="K27" s="32"/>
      <c r="L27" s="32"/>
      <c r="M27" s="39"/>
      <c r="N27" s="43">
        <f t="shared" si="0"/>
        <v>1</v>
      </c>
      <c r="O27" s="33"/>
      <c r="P27" s="32">
        <v>1</v>
      </c>
      <c r="Q27" s="32">
        <v>25</v>
      </c>
      <c r="R27" s="32">
        <v>48</v>
      </c>
      <c r="S27" s="32"/>
      <c r="T27" s="32"/>
      <c r="U27" s="32"/>
      <c r="V27" s="32"/>
      <c r="W27" s="32"/>
      <c r="X27">
        <f t="shared" si="1"/>
        <v>1</v>
      </c>
      <c r="AC27">
        <v>25</v>
      </c>
      <c r="AD27">
        <v>96</v>
      </c>
      <c r="AF27">
        <v>96</v>
      </c>
      <c r="AI27">
        <v>25</v>
      </c>
      <c r="AJ27">
        <v>48</v>
      </c>
      <c r="AK27">
        <v>96</v>
      </c>
      <c r="AL27">
        <v>48</v>
      </c>
      <c r="AM27">
        <v>96</v>
      </c>
      <c r="AN27">
        <v>48</v>
      </c>
      <c r="AO27">
        <v>96</v>
      </c>
      <c r="AP27">
        <v>5</v>
      </c>
      <c r="AU27">
        <v>25</v>
      </c>
      <c r="AV27">
        <v>4</v>
      </c>
      <c r="AW27">
        <v>4</v>
      </c>
      <c r="AX27">
        <v>4</v>
      </c>
      <c r="AY27">
        <v>5</v>
      </c>
      <c r="AZ27">
        <v>6</v>
      </c>
      <c r="BC27">
        <v>25</v>
      </c>
      <c r="BD27">
        <v>6</v>
      </c>
      <c r="BE27">
        <v>6</v>
      </c>
      <c r="BF27">
        <v>6</v>
      </c>
      <c r="BG27">
        <v>9</v>
      </c>
      <c r="BH27">
        <v>11</v>
      </c>
      <c r="BK27" s="32">
        <v>25</v>
      </c>
      <c r="BL27">
        <v>5</v>
      </c>
      <c r="BM27">
        <v>1</v>
      </c>
    </row>
    <row r="28" spans="1:65" x14ac:dyDescent="0.45">
      <c r="A28" s="33"/>
      <c r="B28" s="32">
        <v>2</v>
      </c>
      <c r="C28" s="32">
        <v>26</v>
      </c>
      <c r="D28" s="32">
        <v>48</v>
      </c>
      <c r="E28" s="32"/>
      <c r="F28" s="32"/>
      <c r="G28" s="32"/>
      <c r="H28" s="32"/>
      <c r="I28" s="32"/>
      <c r="J28" s="32"/>
      <c r="K28" s="32"/>
      <c r="L28" s="32"/>
      <c r="M28" s="39"/>
      <c r="N28" s="43">
        <f t="shared" si="0"/>
        <v>1</v>
      </c>
      <c r="O28" s="33"/>
      <c r="P28" s="32">
        <v>2</v>
      </c>
      <c r="Q28" s="32">
        <v>26</v>
      </c>
      <c r="R28" s="32">
        <v>48</v>
      </c>
      <c r="S28" s="32"/>
      <c r="T28" s="32"/>
      <c r="U28" s="32"/>
      <c r="V28" s="32"/>
      <c r="W28" s="32"/>
      <c r="X28">
        <f t="shared" si="1"/>
        <v>1</v>
      </c>
      <c r="AC28">
        <v>26</v>
      </c>
      <c r="AD28">
        <v>96</v>
      </c>
      <c r="AF28">
        <v>96</v>
      </c>
      <c r="AI28">
        <v>26</v>
      </c>
      <c r="AJ28">
        <v>48</v>
      </c>
      <c r="AK28">
        <v>96</v>
      </c>
      <c r="AL28">
        <v>48</v>
      </c>
      <c r="AM28">
        <v>96</v>
      </c>
      <c r="AN28">
        <v>48</v>
      </c>
      <c r="AO28">
        <v>96</v>
      </c>
      <c r="AP28">
        <v>5</v>
      </c>
      <c r="AU28">
        <v>26</v>
      </c>
      <c r="AV28">
        <v>4</v>
      </c>
      <c r="AW28">
        <v>4</v>
      </c>
      <c r="AX28">
        <v>4</v>
      </c>
      <c r="AY28">
        <v>5</v>
      </c>
      <c r="AZ28">
        <v>6</v>
      </c>
      <c r="BC28">
        <v>26</v>
      </c>
      <c r="BD28">
        <v>6</v>
      </c>
      <c r="BE28">
        <v>6</v>
      </c>
      <c r="BF28">
        <v>6</v>
      </c>
      <c r="BG28">
        <v>9</v>
      </c>
      <c r="BH28">
        <v>11</v>
      </c>
      <c r="BK28" s="32">
        <v>26</v>
      </c>
      <c r="BL28">
        <v>5</v>
      </c>
      <c r="BM28">
        <v>1</v>
      </c>
    </row>
    <row r="29" spans="1:65" x14ac:dyDescent="0.45">
      <c r="A29" s="33"/>
      <c r="B29" s="32">
        <v>3</v>
      </c>
      <c r="C29" s="32">
        <v>27</v>
      </c>
      <c r="D29" s="32">
        <v>48</v>
      </c>
      <c r="E29" s="32"/>
      <c r="F29" s="32"/>
      <c r="G29" s="32"/>
      <c r="H29" s="32"/>
      <c r="I29" s="32"/>
      <c r="J29" s="32"/>
      <c r="K29" s="32"/>
      <c r="L29" s="32"/>
      <c r="M29" s="39"/>
      <c r="N29" s="43">
        <f t="shared" si="0"/>
        <v>1</v>
      </c>
      <c r="O29" s="33"/>
      <c r="P29" s="32">
        <v>3</v>
      </c>
      <c r="Q29" s="32">
        <v>27</v>
      </c>
      <c r="R29" s="32">
        <v>48</v>
      </c>
      <c r="S29" s="32"/>
      <c r="T29" s="32"/>
      <c r="U29" s="32"/>
      <c r="V29" s="32"/>
      <c r="W29" s="32"/>
      <c r="X29">
        <f t="shared" si="1"/>
        <v>1</v>
      </c>
      <c r="AC29">
        <v>27</v>
      </c>
      <c r="AD29">
        <v>96</v>
      </c>
      <c r="AF29">
        <v>96</v>
      </c>
      <c r="AI29">
        <v>27</v>
      </c>
      <c r="AJ29">
        <v>48</v>
      </c>
      <c r="AK29">
        <v>96</v>
      </c>
      <c r="AL29">
        <v>48</v>
      </c>
      <c r="AM29">
        <v>96</v>
      </c>
      <c r="AN29">
        <v>48</v>
      </c>
      <c r="AO29">
        <v>96</v>
      </c>
      <c r="AP29">
        <v>5</v>
      </c>
      <c r="AU29">
        <v>27</v>
      </c>
      <c r="AV29">
        <v>4</v>
      </c>
      <c r="AW29">
        <v>4</v>
      </c>
      <c r="AX29">
        <v>4</v>
      </c>
      <c r="AY29">
        <v>5</v>
      </c>
      <c r="AZ29">
        <v>6</v>
      </c>
      <c r="BC29">
        <v>27</v>
      </c>
      <c r="BD29">
        <v>6</v>
      </c>
      <c r="BE29">
        <v>6</v>
      </c>
      <c r="BF29">
        <v>6</v>
      </c>
      <c r="BG29">
        <v>9</v>
      </c>
      <c r="BH29">
        <v>11</v>
      </c>
      <c r="BK29" s="32">
        <v>27</v>
      </c>
      <c r="BL29">
        <v>5</v>
      </c>
      <c r="BM29">
        <v>1</v>
      </c>
    </row>
    <row r="30" spans="1:65" x14ac:dyDescent="0.45">
      <c r="A30" s="33"/>
      <c r="B30" s="32">
        <v>4</v>
      </c>
      <c r="C30" s="32">
        <v>28</v>
      </c>
      <c r="D30" s="32">
        <v>48</v>
      </c>
      <c r="E30" s="32"/>
      <c r="F30" s="32"/>
      <c r="G30" s="32"/>
      <c r="H30" s="32"/>
      <c r="I30" s="32"/>
      <c r="J30" s="32"/>
      <c r="K30" s="32"/>
      <c r="L30" s="32"/>
      <c r="M30" s="39"/>
      <c r="N30" s="43">
        <f t="shared" si="0"/>
        <v>1</v>
      </c>
      <c r="O30" s="33"/>
      <c r="P30" s="32">
        <v>4</v>
      </c>
      <c r="Q30" s="32">
        <v>28</v>
      </c>
      <c r="R30" s="32">
        <v>48</v>
      </c>
      <c r="S30" s="32"/>
      <c r="T30" s="32"/>
      <c r="U30" s="32"/>
      <c r="V30" s="32"/>
      <c r="W30" s="32"/>
      <c r="X30">
        <f t="shared" si="1"/>
        <v>1</v>
      </c>
      <c r="AC30">
        <v>28</v>
      </c>
      <c r="AD30">
        <v>96</v>
      </c>
      <c r="AF30">
        <v>96</v>
      </c>
      <c r="AI30">
        <v>28</v>
      </c>
      <c r="AJ30">
        <v>48</v>
      </c>
      <c r="AK30">
        <v>96</v>
      </c>
      <c r="AL30">
        <v>48</v>
      </c>
      <c r="AM30">
        <v>96</v>
      </c>
      <c r="AN30">
        <v>48</v>
      </c>
      <c r="AO30">
        <v>96</v>
      </c>
      <c r="AP30">
        <v>5</v>
      </c>
      <c r="AU30">
        <v>28</v>
      </c>
      <c r="AV30">
        <v>4</v>
      </c>
      <c r="AW30">
        <v>4</v>
      </c>
      <c r="AX30">
        <v>4</v>
      </c>
      <c r="AY30">
        <v>5</v>
      </c>
      <c r="AZ30">
        <v>6</v>
      </c>
      <c r="BC30">
        <v>28</v>
      </c>
      <c r="BD30">
        <v>6</v>
      </c>
      <c r="BE30">
        <v>6</v>
      </c>
      <c r="BF30">
        <v>6</v>
      </c>
      <c r="BG30">
        <v>9</v>
      </c>
      <c r="BH30">
        <v>11</v>
      </c>
      <c r="BK30" s="32">
        <v>28</v>
      </c>
      <c r="BL30">
        <v>5</v>
      </c>
      <c r="BM30">
        <v>1</v>
      </c>
    </row>
    <row r="31" spans="1:65" x14ac:dyDescent="0.45">
      <c r="A31" s="33"/>
      <c r="B31" s="32">
        <v>5</v>
      </c>
      <c r="C31" s="32">
        <v>29</v>
      </c>
      <c r="D31" s="32">
        <v>48</v>
      </c>
      <c r="E31" s="32"/>
      <c r="F31" s="32"/>
      <c r="G31" s="32"/>
      <c r="H31" s="32"/>
      <c r="I31" s="32"/>
      <c r="J31" s="32"/>
      <c r="K31" s="32"/>
      <c r="L31" s="32"/>
      <c r="M31" s="39"/>
      <c r="N31" s="43">
        <f t="shared" si="0"/>
        <v>1</v>
      </c>
      <c r="O31" s="33"/>
      <c r="P31" s="32">
        <v>5</v>
      </c>
      <c r="Q31" s="32">
        <v>29</v>
      </c>
      <c r="R31" s="32">
        <v>48</v>
      </c>
      <c r="S31" s="32"/>
      <c r="T31" s="32"/>
      <c r="U31" s="32"/>
      <c r="V31" s="32"/>
      <c r="W31" s="32"/>
      <c r="X31">
        <f t="shared" si="1"/>
        <v>1</v>
      </c>
      <c r="AC31">
        <v>29</v>
      </c>
      <c r="AD31">
        <v>96</v>
      </c>
      <c r="AF31">
        <v>96</v>
      </c>
      <c r="AI31">
        <v>29</v>
      </c>
      <c r="AJ31">
        <v>48</v>
      </c>
      <c r="AK31">
        <v>96</v>
      </c>
      <c r="AL31">
        <v>48</v>
      </c>
      <c r="AM31">
        <v>96</v>
      </c>
      <c r="AN31">
        <v>48</v>
      </c>
      <c r="AO31">
        <v>96</v>
      </c>
      <c r="AP31">
        <v>5</v>
      </c>
      <c r="AU31">
        <v>29</v>
      </c>
      <c r="AV31">
        <v>4</v>
      </c>
      <c r="AW31">
        <v>4</v>
      </c>
      <c r="AX31">
        <v>4</v>
      </c>
      <c r="AY31">
        <v>5</v>
      </c>
      <c r="AZ31">
        <v>6</v>
      </c>
      <c r="BC31">
        <v>29</v>
      </c>
      <c r="BD31">
        <v>6</v>
      </c>
      <c r="BE31">
        <v>6</v>
      </c>
      <c r="BF31">
        <v>6</v>
      </c>
      <c r="BG31">
        <v>9</v>
      </c>
      <c r="BH31">
        <v>11</v>
      </c>
      <c r="BK31" s="32">
        <v>29</v>
      </c>
      <c r="BL31">
        <v>5</v>
      </c>
      <c r="BM31">
        <v>1</v>
      </c>
    </row>
    <row r="32" spans="1:65" x14ac:dyDescent="0.45">
      <c r="A32" s="33"/>
      <c r="B32" s="32">
        <v>6</v>
      </c>
      <c r="C32" s="32">
        <v>30</v>
      </c>
      <c r="D32" s="32">
        <v>48</v>
      </c>
      <c r="E32" s="32"/>
      <c r="F32" s="32"/>
      <c r="G32" s="32"/>
      <c r="H32" s="32"/>
      <c r="I32" s="32"/>
      <c r="J32" s="32"/>
      <c r="K32" s="32"/>
      <c r="L32" s="32"/>
      <c r="M32" s="39"/>
      <c r="N32" s="43">
        <f t="shared" si="0"/>
        <v>1</v>
      </c>
      <c r="O32" s="33"/>
      <c r="P32" s="32">
        <v>6</v>
      </c>
      <c r="Q32" s="32">
        <v>30</v>
      </c>
      <c r="R32" s="32">
        <v>48</v>
      </c>
      <c r="S32" s="32"/>
      <c r="T32" s="32"/>
      <c r="U32" s="32"/>
      <c r="V32" s="32"/>
      <c r="W32" s="32"/>
      <c r="X32">
        <f t="shared" si="1"/>
        <v>1</v>
      </c>
      <c r="AC32">
        <v>30</v>
      </c>
      <c r="AD32">
        <v>96</v>
      </c>
      <c r="AF32">
        <v>96</v>
      </c>
      <c r="AI32">
        <v>30</v>
      </c>
      <c r="AJ32">
        <v>48</v>
      </c>
      <c r="AK32">
        <v>96</v>
      </c>
      <c r="AL32">
        <v>48</v>
      </c>
      <c r="AM32">
        <v>96</v>
      </c>
      <c r="AN32">
        <v>48</v>
      </c>
      <c r="AO32">
        <v>96</v>
      </c>
      <c r="AP32">
        <v>5</v>
      </c>
      <c r="AU32">
        <v>30</v>
      </c>
      <c r="AV32">
        <v>4</v>
      </c>
      <c r="AW32">
        <v>4</v>
      </c>
      <c r="AX32">
        <v>4</v>
      </c>
      <c r="AY32">
        <v>5</v>
      </c>
      <c r="AZ32">
        <v>6</v>
      </c>
      <c r="BC32">
        <v>30</v>
      </c>
      <c r="BD32">
        <v>6</v>
      </c>
      <c r="BE32">
        <v>6</v>
      </c>
      <c r="BF32">
        <v>6</v>
      </c>
      <c r="BG32">
        <v>9</v>
      </c>
      <c r="BH32">
        <v>11</v>
      </c>
      <c r="BK32" s="32">
        <v>30</v>
      </c>
      <c r="BL32">
        <v>5</v>
      </c>
      <c r="BM32">
        <v>1</v>
      </c>
    </row>
    <row r="33" spans="1:65" x14ac:dyDescent="0.45">
      <c r="A33" s="33"/>
      <c r="B33" s="32">
        <v>7</v>
      </c>
      <c r="C33" s="32">
        <v>31</v>
      </c>
      <c r="D33" s="32">
        <v>48</v>
      </c>
      <c r="E33" s="32"/>
      <c r="F33" s="32"/>
      <c r="G33" s="32"/>
      <c r="H33" s="32"/>
      <c r="I33" s="32"/>
      <c r="J33" s="32"/>
      <c r="K33" s="32"/>
      <c r="L33" s="32"/>
      <c r="M33" s="39"/>
      <c r="N33" s="43">
        <f t="shared" si="0"/>
        <v>1</v>
      </c>
      <c r="O33" s="33"/>
      <c r="P33" s="32">
        <v>7</v>
      </c>
      <c r="Q33" s="32">
        <v>31</v>
      </c>
      <c r="R33" s="32">
        <v>48</v>
      </c>
      <c r="S33" s="32"/>
      <c r="T33" s="32"/>
      <c r="U33" s="32"/>
      <c r="V33" s="32"/>
      <c r="W33" s="32"/>
      <c r="X33">
        <f t="shared" si="1"/>
        <v>1</v>
      </c>
      <c r="AC33">
        <v>31</v>
      </c>
      <c r="AD33">
        <v>120</v>
      </c>
      <c r="AF33">
        <v>120</v>
      </c>
      <c r="AI33">
        <v>31</v>
      </c>
      <c r="AJ33">
        <v>48</v>
      </c>
      <c r="AK33">
        <v>96</v>
      </c>
      <c r="AL33">
        <v>48</v>
      </c>
      <c r="AM33">
        <v>96</v>
      </c>
      <c r="AN33">
        <v>48</v>
      </c>
      <c r="AO33">
        <v>96</v>
      </c>
      <c r="AP33">
        <v>5</v>
      </c>
      <c r="AU33">
        <v>31</v>
      </c>
      <c r="AV33">
        <v>4</v>
      </c>
      <c r="AW33">
        <v>4</v>
      </c>
      <c r="AX33">
        <v>4</v>
      </c>
      <c r="AY33">
        <v>5</v>
      </c>
      <c r="AZ33">
        <v>6</v>
      </c>
      <c r="BC33">
        <v>31</v>
      </c>
      <c r="BD33">
        <v>6</v>
      </c>
      <c r="BE33">
        <v>6</v>
      </c>
      <c r="BF33">
        <v>6</v>
      </c>
      <c r="BG33">
        <v>9</v>
      </c>
      <c r="BH33">
        <v>11</v>
      </c>
      <c r="BK33" s="32">
        <v>31</v>
      </c>
      <c r="BL33">
        <v>5</v>
      </c>
      <c r="BM33">
        <v>1</v>
      </c>
    </row>
    <row r="34" spans="1:65" x14ac:dyDescent="0.45">
      <c r="A34" s="33"/>
      <c r="B34" s="32">
        <v>8</v>
      </c>
      <c r="C34" s="32">
        <v>32</v>
      </c>
      <c r="D34" s="32">
        <v>48</v>
      </c>
      <c r="E34" s="32"/>
      <c r="F34" s="32"/>
      <c r="G34" s="32"/>
      <c r="H34" s="32"/>
      <c r="I34" s="32"/>
      <c r="J34" s="32"/>
      <c r="K34" s="32"/>
      <c r="L34" s="32"/>
      <c r="M34" s="39"/>
      <c r="N34" s="43">
        <f t="shared" si="0"/>
        <v>1</v>
      </c>
      <c r="O34" s="33"/>
      <c r="P34" s="32">
        <v>8</v>
      </c>
      <c r="Q34" s="32">
        <v>32</v>
      </c>
      <c r="R34" s="32">
        <v>48</v>
      </c>
      <c r="S34" s="32"/>
      <c r="T34" s="32"/>
      <c r="U34" s="32"/>
      <c r="V34" s="32"/>
      <c r="W34" s="32"/>
      <c r="X34">
        <f t="shared" si="1"/>
        <v>1</v>
      </c>
      <c r="AC34">
        <v>32</v>
      </c>
      <c r="AD34">
        <v>120</v>
      </c>
      <c r="AF34">
        <v>120</v>
      </c>
      <c r="AI34">
        <v>32</v>
      </c>
      <c r="AJ34">
        <v>48</v>
      </c>
      <c r="AK34">
        <v>96</v>
      </c>
      <c r="AL34">
        <v>48</v>
      </c>
      <c r="AM34">
        <v>96</v>
      </c>
      <c r="AN34">
        <v>48</v>
      </c>
      <c r="AO34">
        <v>96</v>
      </c>
      <c r="AP34">
        <v>5</v>
      </c>
      <c r="AU34">
        <v>32</v>
      </c>
      <c r="AV34">
        <v>4</v>
      </c>
      <c r="AW34">
        <v>4</v>
      </c>
      <c r="AX34">
        <v>4</v>
      </c>
      <c r="AY34">
        <v>5</v>
      </c>
      <c r="AZ34">
        <v>6</v>
      </c>
      <c r="BC34">
        <v>32</v>
      </c>
      <c r="BD34">
        <v>6</v>
      </c>
      <c r="BE34">
        <v>6</v>
      </c>
      <c r="BF34">
        <v>6</v>
      </c>
      <c r="BG34">
        <v>9</v>
      </c>
      <c r="BH34">
        <v>11</v>
      </c>
      <c r="BK34" s="32">
        <v>32</v>
      </c>
      <c r="BL34">
        <v>5</v>
      </c>
      <c r="BM34">
        <v>1</v>
      </c>
    </row>
    <row r="35" spans="1:65" x14ac:dyDescent="0.45">
      <c r="A35" s="33"/>
      <c r="B35" s="32">
        <v>9</v>
      </c>
      <c r="C35" s="32">
        <v>33</v>
      </c>
      <c r="D35" s="32">
        <v>48</v>
      </c>
      <c r="E35" s="32"/>
      <c r="F35" s="32"/>
      <c r="G35" s="32"/>
      <c r="H35" s="32"/>
      <c r="I35" s="32"/>
      <c r="J35" s="32"/>
      <c r="K35" s="32"/>
      <c r="L35" s="32"/>
      <c r="M35" s="39"/>
      <c r="N35" s="43">
        <f t="shared" si="0"/>
        <v>1</v>
      </c>
      <c r="O35" s="33"/>
      <c r="P35" s="32">
        <v>9</v>
      </c>
      <c r="Q35" s="32">
        <v>33</v>
      </c>
      <c r="R35" s="32">
        <v>48</v>
      </c>
      <c r="S35" s="32"/>
      <c r="T35" s="32"/>
      <c r="U35" s="32"/>
      <c r="V35" s="32"/>
      <c r="W35" s="32"/>
      <c r="X35">
        <f t="shared" si="1"/>
        <v>1</v>
      </c>
      <c r="AC35">
        <v>33</v>
      </c>
      <c r="AD35">
        <v>120</v>
      </c>
      <c r="AF35">
        <v>120</v>
      </c>
      <c r="AI35">
        <v>33</v>
      </c>
      <c r="AJ35">
        <v>48</v>
      </c>
      <c r="AK35">
        <v>96</v>
      </c>
      <c r="AL35">
        <v>48</v>
      </c>
      <c r="AM35">
        <v>96</v>
      </c>
      <c r="AN35">
        <v>48</v>
      </c>
      <c r="AO35">
        <v>96</v>
      </c>
      <c r="AP35">
        <v>5</v>
      </c>
      <c r="AU35">
        <v>33</v>
      </c>
      <c r="AV35">
        <v>4</v>
      </c>
      <c r="AW35">
        <v>4</v>
      </c>
      <c r="AX35">
        <v>4</v>
      </c>
      <c r="AY35">
        <v>5</v>
      </c>
      <c r="AZ35">
        <v>6</v>
      </c>
      <c r="BC35">
        <v>33</v>
      </c>
      <c r="BD35">
        <v>6</v>
      </c>
      <c r="BE35">
        <v>6</v>
      </c>
      <c r="BF35">
        <v>6</v>
      </c>
      <c r="BG35">
        <v>9</v>
      </c>
      <c r="BH35">
        <v>11</v>
      </c>
      <c r="BK35" s="32">
        <v>33</v>
      </c>
      <c r="BL35">
        <v>5</v>
      </c>
      <c r="BM35">
        <v>1</v>
      </c>
    </row>
    <row r="36" spans="1:65" x14ac:dyDescent="0.45">
      <c r="A36" s="33"/>
      <c r="B36" s="32">
        <v>10</v>
      </c>
      <c r="C36" s="32">
        <v>34</v>
      </c>
      <c r="D36" s="32">
        <v>48</v>
      </c>
      <c r="E36" s="32"/>
      <c r="F36" s="32"/>
      <c r="G36" s="32"/>
      <c r="H36" s="32"/>
      <c r="I36" s="32"/>
      <c r="J36" s="32"/>
      <c r="K36" s="32"/>
      <c r="L36" s="32"/>
      <c r="M36" s="39"/>
      <c r="N36" s="43">
        <f t="shared" si="0"/>
        <v>1</v>
      </c>
      <c r="O36" s="33"/>
      <c r="P36" s="32">
        <v>10</v>
      </c>
      <c r="Q36" s="32">
        <v>34</v>
      </c>
      <c r="R36" s="32">
        <v>48</v>
      </c>
      <c r="S36" s="32"/>
      <c r="T36" s="32"/>
      <c r="U36" s="32"/>
      <c r="V36" s="32"/>
      <c r="W36" s="32"/>
      <c r="X36">
        <f t="shared" si="1"/>
        <v>1</v>
      </c>
      <c r="AC36">
        <v>34</v>
      </c>
      <c r="AD36">
        <v>120</v>
      </c>
      <c r="AF36">
        <v>120</v>
      </c>
      <c r="AI36">
        <v>34</v>
      </c>
      <c r="AJ36">
        <v>48</v>
      </c>
      <c r="AK36">
        <v>96</v>
      </c>
      <c r="AL36">
        <v>48</v>
      </c>
      <c r="AM36">
        <v>96</v>
      </c>
      <c r="AN36">
        <v>48</v>
      </c>
      <c r="AO36">
        <v>96</v>
      </c>
      <c r="AP36">
        <v>5</v>
      </c>
      <c r="AU36">
        <v>34</v>
      </c>
      <c r="AV36">
        <v>4</v>
      </c>
      <c r="AW36">
        <v>4</v>
      </c>
      <c r="AX36">
        <v>4</v>
      </c>
      <c r="AY36">
        <v>5</v>
      </c>
      <c r="AZ36">
        <v>6</v>
      </c>
      <c r="BC36">
        <v>34</v>
      </c>
      <c r="BD36">
        <v>6</v>
      </c>
      <c r="BE36">
        <v>6</v>
      </c>
      <c r="BF36">
        <v>6</v>
      </c>
      <c r="BG36">
        <v>9</v>
      </c>
      <c r="BH36">
        <v>11</v>
      </c>
      <c r="BK36" s="32">
        <v>34</v>
      </c>
      <c r="BL36">
        <v>5</v>
      </c>
      <c r="BM36">
        <v>1</v>
      </c>
    </row>
    <row r="37" spans="1:65" x14ac:dyDescent="0.45">
      <c r="A37" s="33"/>
      <c r="B37" s="32">
        <v>11</v>
      </c>
      <c r="C37" s="32">
        <v>35</v>
      </c>
      <c r="D37" s="32">
        <v>48</v>
      </c>
      <c r="E37" s="32"/>
      <c r="F37" s="32"/>
      <c r="G37" s="32"/>
      <c r="H37" s="32"/>
      <c r="I37" s="32"/>
      <c r="J37" s="32"/>
      <c r="K37" s="32"/>
      <c r="L37" s="32"/>
      <c r="M37" s="39"/>
      <c r="N37" s="43">
        <f t="shared" si="0"/>
        <v>1</v>
      </c>
      <c r="O37" s="33"/>
      <c r="P37" s="32">
        <v>11</v>
      </c>
      <c r="Q37" s="32">
        <v>35</v>
      </c>
      <c r="R37" s="32">
        <v>48</v>
      </c>
      <c r="S37" s="32"/>
      <c r="T37" s="32"/>
      <c r="U37" s="32"/>
      <c r="V37" s="32"/>
      <c r="W37" s="32"/>
      <c r="X37">
        <f t="shared" si="1"/>
        <v>1</v>
      </c>
      <c r="AC37">
        <v>35</v>
      </c>
      <c r="AD37">
        <v>120</v>
      </c>
      <c r="AF37">
        <v>120</v>
      </c>
      <c r="AI37">
        <v>35</v>
      </c>
      <c r="AJ37">
        <v>48</v>
      </c>
      <c r="AK37">
        <v>96</v>
      </c>
      <c r="AL37">
        <v>48</v>
      </c>
      <c r="AM37">
        <v>96</v>
      </c>
      <c r="AN37">
        <v>48</v>
      </c>
      <c r="AO37">
        <v>96</v>
      </c>
      <c r="AP37">
        <v>5</v>
      </c>
      <c r="AU37">
        <v>35</v>
      </c>
      <c r="AV37">
        <v>4</v>
      </c>
      <c r="AW37">
        <v>4</v>
      </c>
      <c r="AX37">
        <v>4</v>
      </c>
      <c r="AY37">
        <v>5</v>
      </c>
      <c r="AZ37">
        <v>6</v>
      </c>
      <c r="BC37">
        <v>35</v>
      </c>
      <c r="BD37">
        <v>6</v>
      </c>
      <c r="BE37">
        <v>6</v>
      </c>
      <c r="BF37">
        <v>6</v>
      </c>
      <c r="BG37">
        <v>9</v>
      </c>
      <c r="BH37">
        <v>11</v>
      </c>
      <c r="BK37" s="32">
        <v>35</v>
      </c>
      <c r="BL37">
        <v>5</v>
      </c>
      <c r="BM37">
        <v>1</v>
      </c>
    </row>
    <row r="38" spans="1:65" x14ac:dyDescent="0.45">
      <c r="A38" s="33">
        <v>3</v>
      </c>
      <c r="B38" s="32"/>
      <c r="C38" s="32">
        <v>36</v>
      </c>
      <c r="D38" s="32">
        <v>48</v>
      </c>
      <c r="E38" s="32"/>
      <c r="F38" s="32"/>
      <c r="G38" s="32"/>
      <c r="H38" s="32"/>
      <c r="I38" s="32"/>
      <c r="J38" s="32"/>
      <c r="K38" s="32"/>
      <c r="L38" s="32"/>
      <c r="M38" s="39"/>
      <c r="N38" s="43">
        <f t="shared" si="0"/>
        <v>1</v>
      </c>
      <c r="O38" s="33">
        <v>3</v>
      </c>
      <c r="P38" s="32"/>
      <c r="Q38" s="32">
        <v>36</v>
      </c>
      <c r="R38" s="32">
        <v>48</v>
      </c>
      <c r="S38" s="32"/>
      <c r="T38" s="32"/>
      <c r="U38" s="32"/>
      <c r="V38" s="32"/>
      <c r="W38" s="32"/>
      <c r="X38">
        <f t="shared" si="1"/>
        <v>1</v>
      </c>
      <c r="AC38">
        <v>36</v>
      </c>
      <c r="AD38">
        <v>120</v>
      </c>
      <c r="AF38">
        <v>120</v>
      </c>
      <c r="AI38">
        <v>36</v>
      </c>
      <c r="AJ38">
        <v>48</v>
      </c>
      <c r="AK38">
        <v>96</v>
      </c>
      <c r="AL38">
        <v>48</v>
      </c>
      <c r="AM38">
        <v>96</v>
      </c>
      <c r="AN38">
        <v>48</v>
      </c>
      <c r="AO38">
        <v>96</v>
      </c>
      <c r="AP38">
        <v>5</v>
      </c>
      <c r="AU38">
        <v>36</v>
      </c>
      <c r="AV38">
        <v>4</v>
      </c>
      <c r="AW38">
        <v>4</v>
      </c>
      <c r="AX38">
        <v>4</v>
      </c>
      <c r="AY38">
        <v>5</v>
      </c>
      <c r="AZ38">
        <v>6</v>
      </c>
      <c r="BC38">
        <v>36</v>
      </c>
      <c r="BD38">
        <v>6</v>
      </c>
      <c r="BE38">
        <v>6</v>
      </c>
      <c r="BF38">
        <v>6</v>
      </c>
      <c r="BG38">
        <v>9</v>
      </c>
      <c r="BH38">
        <v>11</v>
      </c>
      <c r="BK38" s="32">
        <v>36</v>
      </c>
      <c r="BL38">
        <v>5</v>
      </c>
      <c r="BM38">
        <v>1</v>
      </c>
    </row>
    <row r="39" spans="1:65" x14ac:dyDescent="0.45">
      <c r="A39" s="33"/>
      <c r="B39" s="32">
        <v>1</v>
      </c>
      <c r="C39" s="32">
        <v>37</v>
      </c>
      <c r="D39" s="32">
        <v>48</v>
      </c>
      <c r="E39" s="32"/>
      <c r="F39" s="32"/>
      <c r="G39" s="32"/>
      <c r="H39" s="32"/>
      <c r="I39" s="32"/>
      <c r="J39" s="32"/>
      <c r="K39" s="32"/>
      <c r="L39" s="32"/>
      <c r="M39" s="39"/>
      <c r="N39" s="43">
        <f t="shared" si="0"/>
        <v>1</v>
      </c>
      <c r="O39" s="33"/>
      <c r="P39" s="32">
        <v>1</v>
      </c>
      <c r="Q39" s="32">
        <v>37</v>
      </c>
      <c r="R39" s="32">
        <v>48</v>
      </c>
      <c r="S39" s="32"/>
      <c r="T39" s="32"/>
      <c r="U39" s="32"/>
      <c r="V39" s="32"/>
      <c r="W39" s="32"/>
      <c r="X39">
        <f t="shared" si="1"/>
        <v>1</v>
      </c>
      <c r="AC39">
        <v>37</v>
      </c>
      <c r="AD39">
        <v>144</v>
      </c>
      <c r="AF39">
        <v>144</v>
      </c>
      <c r="AI39">
        <v>37</v>
      </c>
      <c r="AJ39">
        <v>48</v>
      </c>
      <c r="AK39">
        <v>96</v>
      </c>
      <c r="AL39">
        <v>48</v>
      </c>
      <c r="AM39">
        <v>96</v>
      </c>
      <c r="AN39">
        <v>48</v>
      </c>
      <c r="AO39">
        <v>96</v>
      </c>
      <c r="AP39">
        <v>5</v>
      </c>
      <c r="AU39">
        <v>37</v>
      </c>
      <c r="AV39">
        <v>4</v>
      </c>
      <c r="AW39">
        <v>4</v>
      </c>
      <c r="AX39">
        <v>4</v>
      </c>
      <c r="AY39">
        <v>5</v>
      </c>
      <c r="AZ39">
        <v>6</v>
      </c>
      <c r="BC39">
        <v>37</v>
      </c>
      <c r="BD39">
        <v>6</v>
      </c>
      <c r="BE39">
        <v>6</v>
      </c>
      <c r="BF39">
        <v>6</v>
      </c>
      <c r="BG39">
        <v>9</v>
      </c>
      <c r="BH39">
        <v>11</v>
      </c>
      <c r="BK39" s="32">
        <v>37</v>
      </c>
      <c r="BL39">
        <v>5</v>
      </c>
      <c r="BM39">
        <v>1</v>
      </c>
    </row>
    <row r="40" spans="1:65" x14ac:dyDescent="0.45">
      <c r="A40" s="33"/>
      <c r="B40" s="32">
        <v>2</v>
      </c>
      <c r="C40" s="32">
        <v>38</v>
      </c>
      <c r="D40" s="32">
        <v>48</v>
      </c>
      <c r="E40" s="32"/>
      <c r="F40" s="32"/>
      <c r="G40" s="32"/>
      <c r="H40" s="32"/>
      <c r="I40" s="32"/>
      <c r="J40" s="32"/>
      <c r="K40" s="32"/>
      <c r="L40" s="32"/>
      <c r="M40" s="39"/>
      <c r="N40" s="43">
        <f t="shared" si="0"/>
        <v>1</v>
      </c>
      <c r="O40" s="33"/>
      <c r="P40" s="32">
        <v>2</v>
      </c>
      <c r="Q40" s="32">
        <v>38</v>
      </c>
      <c r="R40" s="32">
        <v>48</v>
      </c>
      <c r="S40" s="32"/>
      <c r="T40" s="32"/>
      <c r="U40" s="32"/>
      <c r="V40" s="32"/>
      <c r="W40" s="32"/>
      <c r="X40">
        <f t="shared" si="1"/>
        <v>1</v>
      </c>
      <c r="AC40">
        <v>38</v>
      </c>
      <c r="AD40">
        <v>144</v>
      </c>
      <c r="AF40">
        <v>144</v>
      </c>
      <c r="AI40">
        <v>38</v>
      </c>
      <c r="AJ40">
        <v>48</v>
      </c>
      <c r="AK40">
        <v>96</v>
      </c>
      <c r="AL40">
        <v>48</v>
      </c>
      <c r="AM40">
        <v>96</v>
      </c>
      <c r="AN40">
        <v>48</v>
      </c>
      <c r="AO40">
        <v>96</v>
      </c>
      <c r="AP40">
        <v>5</v>
      </c>
      <c r="AU40">
        <v>38</v>
      </c>
      <c r="AV40">
        <v>4</v>
      </c>
      <c r="AW40">
        <v>4</v>
      </c>
      <c r="AX40">
        <v>4</v>
      </c>
      <c r="AY40">
        <v>5</v>
      </c>
      <c r="AZ40">
        <v>6</v>
      </c>
      <c r="BC40">
        <v>38</v>
      </c>
      <c r="BD40">
        <v>6</v>
      </c>
      <c r="BE40">
        <v>6</v>
      </c>
      <c r="BF40">
        <v>6</v>
      </c>
      <c r="BG40">
        <v>9</v>
      </c>
      <c r="BH40">
        <v>11</v>
      </c>
      <c r="BK40" s="32">
        <v>38</v>
      </c>
      <c r="BL40">
        <v>5</v>
      </c>
      <c r="BM40">
        <v>1</v>
      </c>
    </row>
    <row r="41" spans="1:65" x14ac:dyDescent="0.45">
      <c r="A41" s="33"/>
      <c r="B41" s="32">
        <v>3</v>
      </c>
      <c r="C41" s="32">
        <v>39</v>
      </c>
      <c r="D41" s="32">
        <v>48</v>
      </c>
      <c r="E41" s="32"/>
      <c r="F41" s="32"/>
      <c r="G41" s="32"/>
      <c r="H41" s="32"/>
      <c r="I41" s="32"/>
      <c r="J41" s="32"/>
      <c r="K41" s="32"/>
      <c r="L41" s="32"/>
      <c r="M41" s="39"/>
      <c r="N41" s="43">
        <f t="shared" si="0"/>
        <v>1</v>
      </c>
      <c r="O41" s="33"/>
      <c r="P41" s="32">
        <v>3</v>
      </c>
      <c r="Q41" s="32">
        <v>39</v>
      </c>
      <c r="R41" s="32">
        <v>48</v>
      </c>
      <c r="S41" s="32"/>
      <c r="T41" s="32"/>
      <c r="U41" s="32"/>
      <c r="V41" s="32"/>
      <c r="W41" s="32"/>
      <c r="X41">
        <f t="shared" si="1"/>
        <v>1</v>
      </c>
      <c r="AC41">
        <v>39</v>
      </c>
      <c r="AD41">
        <v>144</v>
      </c>
      <c r="AF41">
        <v>144</v>
      </c>
      <c r="AI41">
        <v>39</v>
      </c>
      <c r="AJ41">
        <v>48</v>
      </c>
      <c r="AK41">
        <v>96</v>
      </c>
      <c r="AL41">
        <v>48</v>
      </c>
      <c r="AM41">
        <v>96</v>
      </c>
      <c r="AN41">
        <v>48</v>
      </c>
      <c r="AO41">
        <v>96</v>
      </c>
      <c r="AP41">
        <v>5</v>
      </c>
      <c r="AU41">
        <v>39</v>
      </c>
      <c r="AV41">
        <v>4</v>
      </c>
      <c r="AW41">
        <v>4</v>
      </c>
      <c r="AX41">
        <v>4</v>
      </c>
      <c r="AY41">
        <v>5</v>
      </c>
      <c r="AZ41">
        <v>6</v>
      </c>
      <c r="BC41">
        <v>39</v>
      </c>
      <c r="BD41">
        <v>6</v>
      </c>
      <c r="BE41">
        <v>6</v>
      </c>
      <c r="BF41">
        <v>6</v>
      </c>
      <c r="BG41">
        <v>9</v>
      </c>
      <c r="BH41">
        <v>11</v>
      </c>
      <c r="BK41" s="32">
        <v>39</v>
      </c>
      <c r="BL41">
        <v>5</v>
      </c>
      <c r="BM41">
        <v>1</v>
      </c>
    </row>
    <row r="42" spans="1:65" x14ac:dyDescent="0.45">
      <c r="A42" s="33"/>
      <c r="B42" s="32">
        <v>4</v>
      </c>
      <c r="C42" s="32">
        <v>40</v>
      </c>
      <c r="D42" s="32">
        <v>48</v>
      </c>
      <c r="E42" s="32"/>
      <c r="F42" s="32"/>
      <c r="G42" s="32"/>
      <c r="H42" s="32"/>
      <c r="I42" s="32"/>
      <c r="J42" s="32"/>
      <c r="K42" s="32"/>
      <c r="L42" s="32"/>
      <c r="M42" s="39"/>
      <c r="N42" s="43">
        <f t="shared" si="0"/>
        <v>1</v>
      </c>
      <c r="O42" s="33"/>
      <c r="P42" s="32">
        <v>4</v>
      </c>
      <c r="Q42" s="32">
        <v>40</v>
      </c>
      <c r="R42" s="32">
        <v>48</v>
      </c>
      <c r="S42" s="32"/>
      <c r="T42" s="32"/>
      <c r="U42" s="32"/>
      <c r="V42" s="32"/>
      <c r="W42" s="32"/>
      <c r="X42">
        <f t="shared" si="1"/>
        <v>1</v>
      </c>
      <c r="AC42">
        <v>40</v>
      </c>
      <c r="AD42">
        <v>144</v>
      </c>
      <c r="AF42">
        <v>144</v>
      </c>
      <c r="AI42">
        <v>40</v>
      </c>
      <c r="AJ42">
        <v>48</v>
      </c>
      <c r="AK42">
        <v>96</v>
      </c>
      <c r="AL42">
        <v>48</v>
      </c>
      <c r="AM42">
        <v>96</v>
      </c>
      <c r="AN42">
        <v>48</v>
      </c>
      <c r="AO42">
        <v>96</v>
      </c>
      <c r="AP42">
        <v>5</v>
      </c>
      <c r="AU42">
        <v>40</v>
      </c>
      <c r="AV42">
        <v>4</v>
      </c>
      <c r="AW42">
        <v>4</v>
      </c>
      <c r="AX42">
        <v>4</v>
      </c>
      <c r="AY42">
        <v>5</v>
      </c>
      <c r="AZ42">
        <v>6</v>
      </c>
      <c r="BC42">
        <v>40</v>
      </c>
      <c r="BD42">
        <v>6</v>
      </c>
      <c r="BE42">
        <v>6</v>
      </c>
      <c r="BF42">
        <v>6</v>
      </c>
      <c r="BG42">
        <v>9</v>
      </c>
      <c r="BH42">
        <v>11</v>
      </c>
      <c r="BK42" s="32">
        <v>40</v>
      </c>
      <c r="BL42">
        <v>5</v>
      </c>
      <c r="BM42">
        <v>1</v>
      </c>
    </row>
    <row r="43" spans="1:65" x14ac:dyDescent="0.45">
      <c r="A43" s="33"/>
      <c r="B43" s="32">
        <v>5</v>
      </c>
      <c r="C43" s="32">
        <v>41</v>
      </c>
      <c r="D43" s="32">
        <v>48</v>
      </c>
      <c r="E43" s="32"/>
      <c r="F43" s="32"/>
      <c r="G43" s="32"/>
      <c r="H43" s="32"/>
      <c r="I43" s="32"/>
      <c r="J43" s="32"/>
      <c r="K43" s="32"/>
      <c r="L43" s="32"/>
      <c r="M43" s="39"/>
      <c r="N43" s="43">
        <f t="shared" si="0"/>
        <v>1</v>
      </c>
      <c r="O43" s="33"/>
      <c r="P43" s="32">
        <v>5</v>
      </c>
      <c r="Q43" s="32">
        <v>41</v>
      </c>
      <c r="R43" s="32">
        <v>48</v>
      </c>
      <c r="S43" s="32"/>
      <c r="T43" s="32"/>
      <c r="U43" s="32"/>
      <c r="V43" s="32"/>
      <c r="W43" s="32"/>
      <c r="X43">
        <f t="shared" si="1"/>
        <v>1</v>
      </c>
      <c r="AC43">
        <v>41</v>
      </c>
      <c r="AD43">
        <v>144</v>
      </c>
      <c r="AF43">
        <v>144</v>
      </c>
      <c r="AI43">
        <v>41</v>
      </c>
      <c r="AJ43">
        <v>48</v>
      </c>
      <c r="AK43">
        <v>96</v>
      </c>
      <c r="AL43">
        <v>48</v>
      </c>
      <c r="AM43">
        <v>96</v>
      </c>
      <c r="AN43">
        <v>48</v>
      </c>
      <c r="AO43">
        <v>96</v>
      </c>
      <c r="AP43">
        <v>5</v>
      </c>
      <c r="AU43">
        <v>41</v>
      </c>
      <c r="AV43">
        <v>4</v>
      </c>
      <c r="AW43">
        <v>4</v>
      </c>
      <c r="AX43">
        <v>4</v>
      </c>
      <c r="AY43">
        <v>5</v>
      </c>
      <c r="AZ43">
        <v>6</v>
      </c>
      <c r="BC43">
        <v>41</v>
      </c>
      <c r="BD43">
        <v>6</v>
      </c>
      <c r="BE43">
        <v>6</v>
      </c>
      <c r="BF43">
        <v>6</v>
      </c>
      <c r="BG43">
        <v>9</v>
      </c>
      <c r="BH43">
        <v>11</v>
      </c>
      <c r="BK43" s="32">
        <v>41</v>
      </c>
      <c r="BL43">
        <v>5</v>
      </c>
      <c r="BM43">
        <v>1</v>
      </c>
    </row>
    <row r="44" spans="1:65" x14ac:dyDescent="0.45">
      <c r="A44" s="33"/>
      <c r="B44" s="32">
        <v>6</v>
      </c>
      <c r="C44" s="32">
        <v>42</v>
      </c>
      <c r="D44" s="32">
        <v>48</v>
      </c>
      <c r="E44" s="32"/>
      <c r="F44" s="32"/>
      <c r="G44" s="32"/>
      <c r="H44" s="32"/>
      <c r="I44" s="32"/>
      <c r="J44" s="32"/>
      <c r="K44" s="32"/>
      <c r="L44" s="32"/>
      <c r="M44" s="39"/>
      <c r="N44" s="43">
        <f t="shared" si="0"/>
        <v>1</v>
      </c>
      <c r="O44" s="33"/>
      <c r="P44" s="32">
        <v>6</v>
      </c>
      <c r="Q44" s="32">
        <v>42</v>
      </c>
      <c r="R44" s="32">
        <v>48</v>
      </c>
      <c r="S44" s="32"/>
      <c r="T44" s="32"/>
      <c r="U44" s="32"/>
      <c r="V44" s="32"/>
      <c r="W44" s="32"/>
      <c r="X44">
        <f t="shared" si="1"/>
        <v>1</v>
      </c>
      <c r="AC44">
        <v>42</v>
      </c>
      <c r="AD44">
        <v>144</v>
      </c>
      <c r="AF44">
        <v>144</v>
      </c>
      <c r="AI44">
        <v>42</v>
      </c>
      <c r="AJ44">
        <v>48</v>
      </c>
      <c r="AK44">
        <v>96</v>
      </c>
      <c r="AL44">
        <v>48</v>
      </c>
      <c r="AM44">
        <v>96</v>
      </c>
      <c r="AN44">
        <v>48</v>
      </c>
      <c r="AO44">
        <v>96</v>
      </c>
      <c r="AP44">
        <v>5</v>
      </c>
      <c r="AU44">
        <v>42</v>
      </c>
      <c r="AV44">
        <v>4</v>
      </c>
      <c r="AW44">
        <v>4</v>
      </c>
      <c r="AX44">
        <v>4</v>
      </c>
      <c r="AY44">
        <v>5</v>
      </c>
      <c r="AZ44">
        <v>6</v>
      </c>
      <c r="BC44">
        <v>42</v>
      </c>
      <c r="BD44">
        <v>6</v>
      </c>
      <c r="BE44">
        <v>6</v>
      </c>
      <c r="BF44">
        <v>6</v>
      </c>
      <c r="BG44">
        <v>9</v>
      </c>
      <c r="BH44">
        <v>11</v>
      </c>
      <c r="BK44" s="32">
        <v>42</v>
      </c>
      <c r="BL44">
        <v>5</v>
      </c>
      <c r="BM44">
        <v>1</v>
      </c>
    </row>
    <row r="45" spans="1:65" x14ac:dyDescent="0.45">
      <c r="A45" s="33"/>
      <c r="B45" s="32">
        <v>7</v>
      </c>
      <c r="C45" s="32">
        <v>43</v>
      </c>
      <c r="D45" s="32">
        <v>48</v>
      </c>
      <c r="E45" s="32"/>
      <c r="F45" s="32"/>
      <c r="G45" s="32"/>
      <c r="H45" s="32"/>
      <c r="I45" s="32"/>
      <c r="J45" s="32"/>
      <c r="K45" s="32"/>
      <c r="L45" s="32"/>
      <c r="M45" s="39"/>
      <c r="N45" s="43">
        <f t="shared" si="0"/>
        <v>1</v>
      </c>
      <c r="O45" s="33"/>
      <c r="P45" s="32">
        <v>7</v>
      </c>
      <c r="Q45" s="32">
        <v>43</v>
      </c>
      <c r="R45" s="32">
        <v>48</v>
      </c>
      <c r="S45" s="32"/>
      <c r="T45" s="32"/>
      <c r="U45" s="32"/>
      <c r="V45" s="32"/>
      <c r="W45" s="32"/>
      <c r="X45">
        <f t="shared" si="1"/>
        <v>1</v>
      </c>
      <c r="AC45">
        <v>43</v>
      </c>
      <c r="AD45">
        <v>144</v>
      </c>
      <c r="AF45">
        <v>144</v>
      </c>
      <c r="AI45">
        <v>43</v>
      </c>
      <c r="AJ45">
        <v>48</v>
      </c>
      <c r="AK45">
        <v>96</v>
      </c>
      <c r="AL45">
        <v>48</v>
      </c>
      <c r="AM45">
        <v>96</v>
      </c>
      <c r="AN45">
        <v>48</v>
      </c>
      <c r="AO45">
        <v>96</v>
      </c>
      <c r="AP45">
        <v>5</v>
      </c>
      <c r="AU45">
        <v>43</v>
      </c>
      <c r="AV45">
        <v>4</v>
      </c>
      <c r="AW45">
        <v>4</v>
      </c>
      <c r="AX45">
        <v>4</v>
      </c>
      <c r="AY45">
        <v>5</v>
      </c>
      <c r="AZ45">
        <v>6</v>
      </c>
      <c r="BC45">
        <v>43</v>
      </c>
      <c r="BD45">
        <v>6</v>
      </c>
      <c r="BE45">
        <v>6</v>
      </c>
      <c r="BF45">
        <v>6</v>
      </c>
      <c r="BG45">
        <v>9</v>
      </c>
      <c r="BH45">
        <v>11</v>
      </c>
      <c r="BK45" s="32">
        <v>43</v>
      </c>
      <c r="BL45">
        <v>5</v>
      </c>
      <c r="BM45">
        <v>1</v>
      </c>
    </row>
    <row r="46" spans="1:65" x14ac:dyDescent="0.45">
      <c r="A46" s="33"/>
      <c r="B46" s="32">
        <v>8</v>
      </c>
      <c r="C46" s="32">
        <v>44</v>
      </c>
      <c r="D46" s="32">
        <v>48</v>
      </c>
      <c r="E46" s="32"/>
      <c r="F46" s="32"/>
      <c r="G46" s="32"/>
      <c r="H46" s="32"/>
      <c r="I46" s="32"/>
      <c r="J46" s="32"/>
      <c r="K46" s="32"/>
      <c r="L46" s="32"/>
      <c r="M46" s="39"/>
      <c r="N46" s="43">
        <f t="shared" si="0"/>
        <v>1</v>
      </c>
      <c r="O46" s="33"/>
      <c r="P46" s="32">
        <v>8</v>
      </c>
      <c r="Q46" s="32">
        <v>44</v>
      </c>
      <c r="R46" s="32">
        <v>48</v>
      </c>
      <c r="S46" s="32"/>
      <c r="T46" s="32"/>
      <c r="U46" s="32"/>
      <c r="V46" s="32"/>
      <c r="W46" s="32"/>
      <c r="X46">
        <f t="shared" si="1"/>
        <v>1</v>
      </c>
      <c r="AC46">
        <v>44</v>
      </c>
      <c r="AD46">
        <v>144</v>
      </c>
      <c r="AF46">
        <v>144</v>
      </c>
      <c r="AI46">
        <v>44</v>
      </c>
      <c r="AJ46">
        <v>48</v>
      </c>
      <c r="AK46">
        <v>96</v>
      </c>
      <c r="AL46">
        <v>48</v>
      </c>
      <c r="AM46">
        <v>96</v>
      </c>
      <c r="AN46">
        <v>48</v>
      </c>
      <c r="AO46">
        <v>96</v>
      </c>
      <c r="AP46">
        <v>5</v>
      </c>
      <c r="AU46">
        <v>44</v>
      </c>
      <c r="AV46">
        <v>4</v>
      </c>
      <c r="AW46">
        <v>4</v>
      </c>
      <c r="AX46">
        <v>4</v>
      </c>
      <c r="AY46">
        <v>5</v>
      </c>
      <c r="AZ46">
        <v>6</v>
      </c>
      <c r="BC46">
        <v>44</v>
      </c>
      <c r="BD46">
        <v>6</v>
      </c>
      <c r="BE46">
        <v>6</v>
      </c>
      <c r="BF46">
        <v>6</v>
      </c>
      <c r="BG46">
        <v>9</v>
      </c>
      <c r="BH46">
        <v>11</v>
      </c>
      <c r="BK46" s="32">
        <v>44</v>
      </c>
      <c r="BL46">
        <v>5</v>
      </c>
      <c r="BM46">
        <v>1</v>
      </c>
    </row>
    <row r="47" spans="1:65" x14ac:dyDescent="0.45">
      <c r="A47" s="33"/>
      <c r="B47" s="32">
        <v>9</v>
      </c>
      <c r="C47" s="32">
        <v>45</v>
      </c>
      <c r="D47" s="32">
        <v>48</v>
      </c>
      <c r="E47" s="32"/>
      <c r="F47" s="32"/>
      <c r="G47" s="32"/>
      <c r="H47" s="32"/>
      <c r="I47" s="32"/>
      <c r="J47" s="32"/>
      <c r="K47" s="32"/>
      <c r="L47" s="32"/>
      <c r="M47" s="39"/>
      <c r="N47" s="43">
        <f t="shared" si="0"/>
        <v>1</v>
      </c>
      <c r="O47" s="33"/>
      <c r="P47" s="32">
        <v>9</v>
      </c>
      <c r="Q47" s="32">
        <v>45</v>
      </c>
      <c r="R47" s="32">
        <v>48</v>
      </c>
      <c r="S47" s="32"/>
      <c r="T47" s="32"/>
      <c r="U47" s="32"/>
      <c r="V47" s="32"/>
      <c r="W47" s="32"/>
      <c r="X47">
        <f t="shared" si="1"/>
        <v>1</v>
      </c>
      <c r="AC47">
        <v>45</v>
      </c>
      <c r="AD47">
        <v>144</v>
      </c>
      <c r="AF47">
        <v>144</v>
      </c>
      <c r="AI47">
        <v>45</v>
      </c>
      <c r="AJ47">
        <v>48</v>
      </c>
      <c r="AK47">
        <v>96</v>
      </c>
      <c r="AL47">
        <v>48</v>
      </c>
      <c r="AM47">
        <v>96</v>
      </c>
      <c r="AN47">
        <v>48</v>
      </c>
      <c r="AO47">
        <v>96</v>
      </c>
      <c r="AP47">
        <v>5</v>
      </c>
      <c r="AU47">
        <v>45</v>
      </c>
      <c r="AV47">
        <v>4</v>
      </c>
      <c r="AW47">
        <v>4</v>
      </c>
      <c r="AX47">
        <v>4</v>
      </c>
      <c r="AY47">
        <v>5</v>
      </c>
      <c r="AZ47">
        <v>6</v>
      </c>
      <c r="BC47">
        <v>45</v>
      </c>
      <c r="BD47">
        <v>6</v>
      </c>
      <c r="BE47">
        <v>6</v>
      </c>
      <c r="BF47">
        <v>6</v>
      </c>
      <c r="BG47">
        <v>9</v>
      </c>
      <c r="BH47">
        <v>11</v>
      </c>
      <c r="BK47" s="32">
        <v>45</v>
      </c>
      <c r="BL47">
        <v>5</v>
      </c>
      <c r="BM47">
        <v>1</v>
      </c>
    </row>
    <row r="48" spans="1:65" x14ac:dyDescent="0.45">
      <c r="A48" s="33"/>
      <c r="B48" s="32">
        <v>10</v>
      </c>
      <c r="C48" s="32">
        <v>46</v>
      </c>
      <c r="D48" s="32">
        <v>48</v>
      </c>
      <c r="E48" s="32"/>
      <c r="F48" s="32"/>
      <c r="G48" s="32"/>
      <c r="H48" s="32"/>
      <c r="I48" s="32"/>
      <c r="J48" s="32"/>
      <c r="K48" s="32"/>
      <c r="L48" s="32"/>
      <c r="M48" s="39"/>
      <c r="N48" s="43">
        <f t="shared" si="0"/>
        <v>1</v>
      </c>
      <c r="O48" s="33"/>
      <c r="P48" s="32">
        <v>10</v>
      </c>
      <c r="Q48" s="32">
        <v>46</v>
      </c>
      <c r="R48" s="32">
        <v>48</v>
      </c>
      <c r="S48" s="32"/>
      <c r="T48" s="32"/>
      <c r="U48" s="32"/>
      <c r="V48" s="32"/>
      <c r="W48" s="32"/>
      <c r="X48">
        <f t="shared" si="1"/>
        <v>1</v>
      </c>
      <c r="AC48">
        <v>46</v>
      </c>
      <c r="AD48">
        <v>240</v>
      </c>
      <c r="AF48">
        <v>240</v>
      </c>
      <c r="AI48">
        <v>46</v>
      </c>
      <c r="AJ48">
        <v>48</v>
      </c>
      <c r="AK48">
        <v>96</v>
      </c>
      <c r="AL48">
        <v>48</v>
      </c>
      <c r="AM48">
        <v>96</v>
      </c>
      <c r="AN48">
        <v>48</v>
      </c>
      <c r="AO48">
        <v>96</v>
      </c>
      <c r="AP48">
        <v>5</v>
      </c>
      <c r="AU48">
        <v>46</v>
      </c>
      <c r="AV48">
        <v>4</v>
      </c>
      <c r="AW48">
        <v>4</v>
      </c>
      <c r="AX48">
        <v>4</v>
      </c>
      <c r="AY48">
        <v>5</v>
      </c>
      <c r="AZ48">
        <v>6</v>
      </c>
      <c r="BC48">
        <v>46</v>
      </c>
      <c r="BD48">
        <v>9</v>
      </c>
      <c r="BE48">
        <v>9</v>
      </c>
      <c r="BF48">
        <v>9</v>
      </c>
      <c r="BG48">
        <v>9</v>
      </c>
      <c r="BH48">
        <v>11</v>
      </c>
      <c r="BK48" s="32">
        <v>46</v>
      </c>
      <c r="BL48">
        <v>5</v>
      </c>
      <c r="BM48">
        <v>1</v>
      </c>
    </row>
    <row r="49" spans="1:65" x14ac:dyDescent="0.45">
      <c r="A49" s="33"/>
      <c r="B49" s="32">
        <v>11</v>
      </c>
      <c r="C49" s="32">
        <v>47</v>
      </c>
      <c r="D49" s="32">
        <v>48</v>
      </c>
      <c r="E49" s="32"/>
      <c r="F49" s="32"/>
      <c r="G49" s="32"/>
      <c r="H49" s="32"/>
      <c r="I49" s="32"/>
      <c r="J49" s="32"/>
      <c r="K49" s="32"/>
      <c r="L49" s="32"/>
      <c r="M49" s="39"/>
      <c r="N49" s="43">
        <f t="shared" si="0"/>
        <v>1</v>
      </c>
      <c r="O49" s="33"/>
      <c r="P49" s="32">
        <v>11</v>
      </c>
      <c r="Q49" s="32">
        <v>47</v>
      </c>
      <c r="R49" s="32">
        <v>48</v>
      </c>
      <c r="S49" s="32"/>
      <c r="T49" s="32"/>
      <c r="U49" s="32"/>
      <c r="V49" s="32"/>
      <c r="W49" s="32"/>
      <c r="X49">
        <f t="shared" si="1"/>
        <v>1</v>
      </c>
      <c r="AC49">
        <v>47</v>
      </c>
      <c r="AD49">
        <v>240</v>
      </c>
      <c r="AF49">
        <v>240</v>
      </c>
      <c r="AI49">
        <v>47</v>
      </c>
      <c r="AJ49">
        <v>48</v>
      </c>
      <c r="AK49">
        <v>96</v>
      </c>
      <c r="AL49">
        <v>48</v>
      </c>
      <c r="AM49">
        <v>96</v>
      </c>
      <c r="AN49">
        <v>48</v>
      </c>
      <c r="AO49">
        <v>96</v>
      </c>
      <c r="AP49">
        <v>5</v>
      </c>
      <c r="AU49">
        <v>47</v>
      </c>
      <c r="AV49">
        <v>4</v>
      </c>
      <c r="AW49">
        <v>4</v>
      </c>
      <c r="AX49">
        <v>4</v>
      </c>
      <c r="AY49">
        <v>5</v>
      </c>
      <c r="AZ49">
        <v>6</v>
      </c>
      <c r="BC49">
        <v>47</v>
      </c>
      <c r="BD49">
        <v>9</v>
      </c>
      <c r="BE49">
        <v>9</v>
      </c>
      <c r="BF49">
        <v>9</v>
      </c>
      <c r="BG49">
        <v>9</v>
      </c>
      <c r="BH49">
        <v>11</v>
      </c>
      <c r="BK49" s="32">
        <v>47</v>
      </c>
      <c r="BL49">
        <v>5</v>
      </c>
      <c r="BM49">
        <v>1</v>
      </c>
    </row>
    <row r="50" spans="1:65" x14ac:dyDescent="0.45">
      <c r="A50" s="33">
        <v>4</v>
      </c>
      <c r="B50" s="32"/>
      <c r="C50" s="32">
        <v>48</v>
      </c>
      <c r="D50" s="32">
        <v>48</v>
      </c>
      <c r="E50" s="32"/>
      <c r="F50" s="32"/>
      <c r="G50" s="32"/>
      <c r="H50" s="32"/>
      <c r="I50" s="32"/>
      <c r="J50" s="32"/>
      <c r="K50" s="32"/>
      <c r="L50" s="32"/>
      <c r="M50" s="39"/>
      <c r="N50" s="43">
        <f t="shared" si="0"/>
        <v>1</v>
      </c>
      <c r="O50" s="33">
        <v>4</v>
      </c>
      <c r="P50" s="32"/>
      <c r="Q50" s="32">
        <v>48</v>
      </c>
      <c r="R50" s="32">
        <v>48</v>
      </c>
      <c r="S50" s="32"/>
      <c r="T50" s="32"/>
      <c r="U50" s="32"/>
      <c r="V50" s="32"/>
      <c r="W50" s="32"/>
      <c r="X50">
        <f t="shared" si="1"/>
        <v>1</v>
      </c>
      <c r="AC50">
        <v>48</v>
      </c>
      <c r="AD50">
        <v>240</v>
      </c>
      <c r="AF50">
        <v>240</v>
      </c>
      <c r="AI50">
        <v>48</v>
      </c>
      <c r="AJ50">
        <v>48</v>
      </c>
      <c r="AK50">
        <v>96</v>
      </c>
      <c r="AL50">
        <v>48</v>
      </c>
      <c r="AM50">
        <v>96</v>
      </c>
      <c r="AN50">
        <v>48</v>
      </c>
      <c r="AO50">
        <v>96</v>
      </c>
      <c r="AP50">
        <v>5</v>
      </c>
      <c r="AU50">
        <v>48</v>
      </c>
      <c r="AV50">
        <v>4</v>
      </c>
      <c r="AW50">
        <v>4</v>
      </c>
      <c r="AX50">
        <v>4</v>
      </c>
      <c r="AY50">
        <v>5</v>
      </c>
      <c r="AZ50">
        <v>6</v>
      </c>
      <c r="BC50">
        <v>48</v>
      </c>
      <c r="BD50">
        <v>9</v>
      </c>
      <c r="BE50">
        <v>9</v>
      </c>
      <c r="BF50">
        <v>9</v>
      </c>
      <c r="BG50">
        <v>9</v>
      </c>
      <c r="BH50">
        <v>11</v>
      </c>
      <c r="BK50" s="32">
        <v>48</v>
      </c>
      <c r="BL50">
        <v>5</v>
      </c>
      <c r="BM50">
        <v>1</v>
      </c>
    </row>
    <row r="51" spans="1:65" x14ac:dyDescent="0.45">
      <c r="A51" s="33"/>
      <c r="B51" s="32">
        <v>1</v>
      </c>
      <c r="C51" s="32">
        <v>49</v>
      </c>
      <c r="D51" s="32">
        <v>60</v>
      </c>
      <c r="E51" s="32"/>
      <c r="F51" s="32"/>
      <c r="G51" s="32"/>
      <c r="H51" s="32"/>
      <c r="I51" s="32"/>
      <c r="J51" s="32"/>
      <c r="K51" s="32"/>
      <c r="L51" s="32"/>
      <c r="M51" s="39"/>
      <c r="N51" s="43">
        <f t="shared" si="0"/>
        <v>1</v>
      </c>
      <c r="O51" s="33"/>
      <c r="P51" s="32">
        <v>1</v>
      </c>
      <c r="Q51" s="32">
        <v>49</v>
      </c>
      <c r="R51" s="32">
        <v>60</v>
      </c>
      <c r="S51" s="32"/>
      <c r="T51" s="32"/>
      <c r="U51" s="32"/>
      <c r="V51" s="32"/>
      <c r="W51" s="32"/>
      <c r="X51">
        <f t="shared" si="1"/>
        <v>1</v>
      </c>
      <c r="AC51">
        <v>49</v>
      </c>
      <c r="AD51">
        <v>240</v>
      </c>
      <c r="AF51">
        <v>240</v>
      </c>
      <c r="AI51">
        <v>49</v>
      </c>
      <c r="AJ51">
        <v>48</v>
      </c>
      <c r="AK51">
        <v>96</v>
      </c>
      <c r="AL51">
        <v>48</v>
      </c>
      <c r="AM51">
        <v>96</v>
      </c>
      <c r="AN51">
        <v>48</v>
      </c>
      <c r="AO51">
        <v>96</v>
      </c>
      <c r="AP51">
        <v>6</v>
      </c>
      <c r="AU51">
        <v>49</v>
      </c>
      <c r="AV51">
        <v>4</v>
      </c>
      <c r="AW51">
        <v>4</v>
      </c>
      <c r="AX51">
        <v>4</v>
      </c>
      <c r="AY51">
        <v>5</v>
      </c>
      <c r="AZ51">
        <v>6</v>
      </c>
      <c r="BC51">
        <v>49</v>
      </c>
      <c r="BD51">
        <v>9</v>
      </c>
      <c r="BE51">
        <v>9</v>
      </c>
      <c r="BF51">
        <v>9</v>
      </c>
      <c r="BG51">
        <v>9</v>
      </c>
      <c r="BH51">
        <v>11</v>
      </c>
      <c r="BK51" s="32">
        <v>49</v>
      </c>
      <c r="BL51">
        <v>5</v>
      </c>
      <c r="BM51">
        <v>1</v>
      </c>
    </row>
    <row r="52" spans="1:65" x14ac:dyDescent="0.45">
      <c r="A52" s="33"/>
      <c r="B52" s="32">
        <v>2</v>
      </c>
      <c r="C52" s="32">
        <v>50</v>
      </c>
      <c r="D52" s="32">
        <v>60</v>
      </c>
      <c r="E52" s="32"/>
      <c r="F52" s="32"/>
      <c r="G52" s="32"/>
      <c r="H52" s="32"/>
      <c r="I52" s="32"/>
      <c r="J52" s="32"/>
      <c r="K52" s="32"/>
      <c r="L52" s="32"/>
      <c r="M52" s="39"/>
      <c r="N52" s="43">
        <f t="shared" si="0"/>
        <v>1</v>
      </c>
      <c r="O52" s="33"/>
      <c r="P52" s="32">
        <v>2</v>
      </c>
      <c r="Q52" s="32">
        <v>50</v>
      </c>
      <c r="R52" s="32">
        <v>60</v>
      </c>
      <c r="S52" s="32"/>
      <c r="T52" s="32"/>
      <c r="U52" s="32"/>
      <c r="V52" s="32"/>
      <c r="W52" s="32"/>
      <c r="X52">
        <f t="shared" si="1"/>
        <v>1</v>
      </c>
      <c r="AC52">
        <v>50</v>
      </c>
      <c r="AD52">
        <v>240</v>
      </c>
      <c r="AF52">
        <v>240</v>
      </c>
      <c r="AI52">
        <v>50</v>
      </c>
      <c r="AJ52">
        <v>48</v>
      </c>
      <c r="AK52">
        <v>96</v>
      </c>
      <c r="AL52">
        <v>48</v>
      </c>
      <c r="AM52">
        <v>96</v>
      </c>
      <c r="AN52">
        <v>48</v>
      </c>
      <c r="AO52">
        <v>96</v>
      </c>
      <c r="AP52">
        <v>6</v>
      </c>
      <c r="AU52">
        <v>50</v>
      </c>
      <c r="AV52">
        <v>4</v>
      </c>
      <c r="AW52">
        <v>4</v>
      </c>
      <c r="AX52">
        <v>4</v>
      </c>
      <c r="AY52">
        <v>5</v>
      </c>
      <c r="AZ52">
        <v>6</v>
      </c>
      <c r="BC52">
        <v>50</v>
      </c>
      <c r="BD52">
        <v>9</v>
      </c>
      <c r="BE52">
        <v>9</v>
      </c>
      <c r="BF52">
        <v>9</v>
      </c>
      <c r="BG52">
        <v>9</v>
      </c>
      <c r="BH52">
        <v>11</v>
      </c>
      <c r="BK52" s="32">
        <v>50</v>
      </c>
      <c r="BL52">
        <v>5</v>
      </c>
      <c r="BM52">
        <v>1</v>
      </c>
    </row>
    <row r="53" spans="1:65" x14ac:dyDescent="0.45">
      <c r="A53" s="33"/>
      <c r="B53" s="32">
        <v>3</v>
      </c>
      <c r="C53" s="32">
        <v>51</v>
      </c>
      <c r="D53" s="32">
        <v>60</v>
      </c>
      <c r="E53" s="32"/>
      <c r="F53" s="32"/>
      <c r="G53" s="32"/>
      <c r="H53" s="32"/>
      <c r="I53" s="32"/>
      <c r="J53" s="32"/>
      <c r="K53" s="32"/>
      <c r="L53" s="32"/>
      <c r="M53" s="39"/>
      <c r="N53" s="43">
        <f t="shared" si="0"/>
        <v>1</v>
      </c>
      <c r="O53" s="33"/>
      <c r="P53" s="32">
        <v>3</v>
      </c>
      <c r="Q53" s="32">
        <v>51</v>
      </c>
      <c r="R53" s="32">
        <v>60</v>
      </c>
      <c r="S53" s="32"/>
      <c r="T53" s="32"/>
      <c r="U53" s="32"/>
      <c r="V53" s="32"/>
      <c r="W53" s="32"/>
      <c r="X53">
        <f t="shared" si="1"/>
        <v>1</v>
      </c>
      <c r="AC53">
        <v>51</v>
      </c>
      <c r="AD53">
        <v>240</v>
      </c>
      <c r="AF53">
        <v>240</v>
      </c>
      <c r="AI53">
        <v>51</v>
      </c>
      <c r="AJ53">
        <v>48</v>
      </c>
      <c r="AK53">
        <v>96</v>
      </c>
      <c r="AL53">
        <v>48</v>
      </c>
      <c r="AM53">
        <v>96</v>
      </c>
      <c r="AN53">
        <v>48</v>
      </c>
      <c r="AO53">
        <v>96</v>
      </c>
      <c r="AP53">
        <v>6</v>
      </c>
      <c r="AU53">
        <v>51</v>
      </c>
      <c r="AV53">
        <v>4</v>
      </c>
      <c r="AW53">
        <v>4</v>
      </c>
      <c r="AX53">
        <v>4</v>
      </c>
      <c r="AY53">
        <v>5</v>
      </c>
      <c r="AZ53">
        <v>6</v>
      </c>
      <c r="BC53">
        <v>51</v>
      </c>
      <c r="BD53">
        <v>9</v>
      </c>
      <c r="BE53">
        <v>9</v>
      </c>
      <c r="BF53">
        <v>9</v>
      </c>
      <c r="BG53">
        <v>9</v>
      </c>
      <c r="BH53">
        <v>11</v>
      </c>
      <c r="BK53" s="32">
        <v>51</v>
      </c>
      <c r="BL53">
        <v>5</v>
      </c>
      <c r="BM53">
        <v>1</v>
      </c>
    </row>
    <row r="54" spans="1:65" x14ac:dyDescent="0.45">
      <c r="A54" s="33"/>
      <c r="B54" s="32">
        <v>4</v>
      </c>
      <c r="C54" s="32">
        <v>52</v>
      </c>
      <c r="D54" s="32">
        <v>60</v>
      </c>
      <c r="E54" s="32"/>
      <c r="F54" s="32"/>
      <c r="G54" s="32"/>
      <c r="H54" s="32"/>
      <c r="I54" s="32"/>
      <c r="J54" s="32"/>
      <c r="K54" s="32"/>
      <c r="L54" s="32"/>
      <c r="M54" s="39"/>
      <c r="N54" s="43">
        <f t="shared" si="0"/>
        <v>1</v>
      </c>
      <c r="O54" s="33"/>
      <c r="P54" s="32">
        <v>4</v>
      </c>
      <c r="Q54" s="32">
        <v>52</v>
      </c>
      <c r="R54" s="32">
        <v>60</v>
      </c>
      <c r="S54" s="32"/>
      <c r="T54" s="32"/>
      <c r="U54" s="32"/>
      <c r="V54" s="32"/>
      <c r="W54" s="32"/>
      <c r="X54">
        <f t="shared" si="1"/>
        <v>1</v>
      </c>
      <c r="AC54">
        <v>52</v>
      </c>
      <c r="AD54">
        <v>240</v>
      </c>
      <c r="AF54">
        <v>240</v>
      </c>
      <c r="AI54">
        <v>52</v>
      </c>
      <c r="AJ54">
        <v>48</v>
      </c>
      <c r="AK54">
        <v>96</v>
      </c>
      <c r="AL54">
        <v>48</v>
      </c>
      <c r="AM54">
        <v>96</v>
      </c>
      <c r="AN54">
        <v>48</v>
      </c>
      <c r="AO54">
        <v>96</v>
      </c>
      <c r="AP54">
        <v>6</v>
      </c>
      <c r="AU54">
        <v>52</v>
      </c>
      <c r="AV54">
        <v>4</v>
      </c>
      <c r="AW54">
        <v>4</v>
      </c>
      <c r="AX54">
        <v>4</v>
      </c>
      <c r="AY54">
        <v>5</v>
      </c>
      <c r="AZ54">
        <v>6</v>
      </c>
      <c r="BC54">
        <v>52</v>
      </c>
      <c r="BD54">
        <v>9</v>
      </c>
      <c r="BE54">
        <v>9</v>
      </c>
      <c r="BF54">
        <v>9</v>
      </c>
      <c r="BG54">
        <v>9</v>
      </c>
      <c r="BH54">
        <v>11</v>
      </c>
      <c r="BK54" s="32">
        <v>52</v>
      </c>
      <c r="BL54">
        <v>5</v>
      </c>
      <c r="BM54">
        <v>1</v>
      </c>
    </row>
    <row r="55" spans="1:65" x14ac:dyDescent="0.45">
      <c r="A55" s="33"/>
      <c r="B55" s="32">
        <v>5</v>
      </c>
      <c r="C55" s="32">
        <v>53</v>
      </c>
      <c r="D55" s="32">
        <v>60</v>
      </c>
      <c r="E55" s="32"/>
      <c r="F55" s="32"/>
      <c r="G55" s="32"/>
      <c r="H55" s="32"/>
      <c r="I55" s="32"/>
      <c r="J55" s="32"/>
      <c r="K55" s="32"/>
      <c r="L55" s="32"/>
      <c r="M55" s="39"/>
      <c r="N55" s="43">
        <f t="shared" si="0"/>
        <v>1</v>
      </c>
      <c r="O55" s="33"/>
      <c r="P55" s="32">
        <v>5</v>
      </c>
      <c r="Q55" s="32">
        <v>53</v>
      </c>
      <c r="R55" s="32">
        <v>60</v>
      </c>
      <c r="S55" s="32"/>
      <c r="T55" s="32"/>
      <c r="U55" s="32"/>
      <c r="V55" s="32"/>
      <c r="W55" s="32"/>
      <c r="X55">
        <f t="shared" si="1"/>
        <v>1</v>
      </c>
      <c r="AC55">
        <v>53</v>
      </c>
      <c r="AD55">
        <v>240</v>
      </c>
      <c r="AF55">
        <v>240</v>
      </c>
      <c r="AI55">
        <v>53</v>
      </c>
      <c r="AJ55">
        <v>48</v>
      </c>
      <c r="AK55">
        <v>96</v>
      </c>
      <c r="AL55">
        <v>48</v>
      </c>
      <c r="AM55">
        <v>96</v>
      </c>
      <c r="AN55">
        <v>48</v>
      </c>
      <c r="AO55">
        <v>96</v>
      </c>
      <c r="AP55">
        <v>6</v>
      </c>
      <c r="AU55">
        <v>53</v>
      </c>
      <c r="AV55">
        <v>4</v>
      </c>
      <c r="AW55">
        <v>4</v>
      </c>
      <c r="AX55">
        <v>4</v>
      </c>
      <c r="AY55">
        <v>5</v>
      </c>
      <c r="AZ55">
        <v>6</v>
      </c>
      <c r="BC55">
        <v>53</v>
      </c>
      <c r="BD55">
        <v>9</v>
      </c>
      <c r="BE55">
        <v>9</v>
      </c>
      <c r="BF55">
        <v>9</v>
      </c>
      <c r="BG55">
        <v>9</v>
      </c>
      <c r="BH55">
        <v>11</v>
      </c>
      <c r="BK55" s="32">
        <v>53</v>
      </c>
      <c r="BL55">
        <v>5</v>
      </c>
      <c r="BM55">
        <v>1</v>
      </c>
    </row>
    <row r="56" spans="1:65" x14ac:dyDescent="0.45">
      <c r="A56" s="33"/>
      <c r="B56" s="32">
        <v>6</v>
      </c>
      <c r="C56" s="32">
        <v>54</v>
      </c>
      <c r="D56" s="32">
        <v>60</v>
      </c>
      <c r="E56" s="32"/>
      <c r="F56" s="32"/>
      <c r="G56" s="32"/>
      <c r="H56" s="32"/>
      <c r="I56" s="32"/>
      <c r="J56" s="32"/>
      <c r="K56" s="32"/>
      <c r="L56" s="32"/>
      <c r="M56" s="39"/>
      <c r="N56" s="43">
        <f t="shared" si="0"/>
        <v>1</v>
      </c>
      <c r="O56" s="33"/>
      <c r="P56" s="32">
        <v>6</v>
      </c>
      <c r="Q56" s="32">
        <v>54</v>
      </c>
      <c r="R56" s="32">
        <v>60</v>
      </c>
      <c r="S56" s="32"/>
      <c r="T56" s="32"/>
      <c r="U56" s="32"/>
      <c r="V56" s="32"/>
      <c r="W56" s="32"/>
      <c r="X56">
        <f t="shared" si="1"/>
        <v>1</v>
      </c>
      <c r="AC56">
        <v>54</v>
      </c>
      <c r="AD56">
        <v>240</v>
      </c>
      <c r="AF56">
        <v>240</v>
      </c>
      <c r="AI56">
        <v>54</v>
      </c>
      <c r="AJ56">
        <v>48</v>
      </c>
      <c r="AK56">
        <v>96</v>
      </c>
      <c r="AL56">
        <v>48</v>
      </c>
      <c r="AM56">
        <v>96</v>
      </c>
      <c r="AN56">
        <v>48</v>
      </c>
      <c r="AO56">
        <v>96</v>
      </c>
      <c r="AP56">
        <v>6</v>
      </c>
      <c r="AU56">
        <v>54</v>
      </c>
      <c r="AV56">
        <v>4</v>
      </c>
      <c r="AW56">
        <v>4</v>
      </c>
      <c r="AX56">
        <v>4</v>
      </c>
      <c r="AY56">
        <v>5</v>
      </c>
      <c r="AZ56">
        <v>6</v>
      </c>
      <c r="BC56">
        <v>54</v>
      </c>
      <c r="BD56">
        <v>9</v>
      </c>
      <c r="BE56">
        <v>9</v>
      </c>
      <c r="BF56">
        <v>9</v>
      </c>
      <c r="BG56">
        <v>9</v>
      </c>
      <c r="BH56">
        <v>11</v>
      </c>
      <c r="BK56" s="32">
        <v>54</v>
      </c>
      <c r="BL56">
        <v>5</v>
      </c>
      <c r="BM56">
        <v>1</v>
      </c>
    </row>
    <row r="57" spans="1:65" x14ac:dyDescent="0.45">
      <c r="A57" s="33"/>
      <c r="B57" s="32">
        <v>7</v>
      </c>
      <c r="C57" s="32">
        <v>55</v>
      </c>
      <c r="D57" s="32">
        <v>60</v>
      </c>
      <c r="E57" s="32"/>
      <c r="F57" s="32"/>
      <c r="G57" s="32"/>
      <c r="H57" s="32"/>
      <c r="I57" s="32"/>
      <c r="J57" s="32"/>
      <c r="K57" s="32"/>
      <c r="L57" s="32"/>
      <c r="M57" s="39"/>
      <c r="N57" s="43">
        <f t="shared" si="0"/>
        <v>1</v>
      </c>
      <c r="O57" s="33"/>
      <c r="P57" s="32">
        <v>7</v>
      </c>
      <c r="Q57" s="32">
        <v>55</v>
      </c>
      <c r="R57" s="32">
        <v>60</v>
      </c>
      <c r="S57" s="32"/>
      <c r="T57" s="32"/>
      <c r="U57" s="32"/>
      <c r="V57" s="32"/>
      <c r="W57" s="32"/>
      <c r="X57">
        <f t="shared" si="1"/>
        <v>1</v>
      </c>
      <c r="AC57">
        <v>55</v>
      </c>
      <c r="AD57">
        <v>240</v>
      </c>
      <c r="AF57">
        <v>240</v>
      </c>
      <c r="AI57">
        <v>55</v>
      </c>
      <c r="AJ57">
        <v>48</v>
      </c>
      <c r="AK57">
        <v>96</v>
      </c>
      <c r="AL57">
        <v>48</v>
      </c>
      <c r="AM57">
        <v>96</v>
      </c>
      <c r="AN57">
        <v>48</v>
      </c>
      <c r="AO57">
        <v>96</v>
      </c>
      <c r="AP57">
        <v>6</v>
      </c>
      <c r="AU57">
        <v>55</v>
      </c>
      <c r="AV57">
        <v>4</v>
      </c>
      <c r="AW57">
        <v>4</v>
      </c>
      <c r="AX57">
        <v>4</v>
      </c>
      <c r="AY57">
        <v>5</v>
      </c>
      <c r="AZ57">
        <v>6</v>
      </c>
      <c r="BC57">
        <v>55</v>
      </c>
      <c r="BD57">
        <v>9</v>
      </c>
      <c r="BE57">
        <v>9</v>
      </c>
      <c r="BF57">
        <v>9</v>
      </c>
      <c r="BG57">
        <v>9</v>
      </c>
      <c r="BH57">
        <v>11</v>
      </c>
      <c r="BK57" s="32">
        <v>55</v>
      </c>
      <c r="BL57">
        <v>5</v>
      </c>
      <c r="BM57">
        <v>1</v>
      </c>
    </row>
    <row r="58" spans="1:65" x14ac:dyDescent="0.45">
      <c r="A58" s="33"/>
      <c r="B58" s="32">
        <v>8</v>
      </c>
      <c r="C58" s="32">
        <v>56</v>
      </c>
      <c r="D58" s="32">
        <v>60</v>
      </c>
      <c r="E58" s="32"/>
      <c r="F58" s="32"/>
      <c r="G58" s="32"/>
      <c r="H58" s="32"/>
      <c r="I58" s="32"/>
      <c r="J58" s="32"/>
      <c r="K58" s="32"/>
      <c r="L58" s="32"/>
      <c r="M58" s="39"/>
      <c r="N58" s="43">
        <f t="shared" si="0"/>
        <v>1</v>
      </c>
      <c r="O58" s="33"/>
      <c r="P58" s="32">
        <v>8</v>
      </c>
      <c r="Q58" s="32">
        <v>56</v>
      </c>
      <c r="R58" s="32">
        <v>60</v>
      </c>
      <c r="S58" s="32"/>
      <c r="T58" s="32"/>
      <c r="U58" s="32"/>
      <c r="V58" s="32"/>
      <c r="W58" s="32"/>
      <c r="X58">
        <f t="shared" si="1"/>
        <v>1</v>
      </c>
      <c r="AC58">
        <v>56</v>
      </c>
      <c r="AD58">
        <v>240</v>
      </c>
      <c r="AF58">
        <v>240</v>
      </c>
      <c r="AI58">
        <v>56</v>
      </c>
      <c r="AJ58">
        <v>48</v>
      </c>
      <c r="AK58">
        <v>96</v>
      </c>
      <c r="AL58">
        <v>48</v>
      </c>
      <c r="AM58">
        <v>96</v>
      </c>
      <c r="AN58">
        <v>48</v>
      </c>
      <c r="AO58">
        <v>96</v>
      </c>
      <c r="AP58">
        <v>6</v>
      </c>
      <c r="AU58">
        <v>56</v>
      </c>
      <c r="AV58">
        <v>4</v>
      </c>
      <c r="AW58">
        <v>4</v>
      </c>
      <c r="AX58">
        <v>4</v>
      </c>
      <c r="AY58">
        <v>5</v>
      </c>
      <c r="AZ58">
        <v>6</v>
      </c>
      <c r="BC58">
        <v>56</v>
      </c>
      <c r="BD58">
        <v>9</v>
      </c>
      <c r="BE58">
        <v>9</v>
      </c>
      <c r="BF58">
        <v>9</v>
      </c>
      <c r="BG58">
        <v>9</v>
      </c>
      <c r="BH58">
        <v>11</v>
      </c>
      <c r="BK58" s="32">
        <v>56</v>
      </c>
      <c r="BL58">
        <v>5</v>
      </c>
      <c r="BM58">
        <v>1</v>
      </c>
    </row>
    <row r="59" spans="1:65" x14ac:dyDescent="0.45">
      <c r="A59" s="33"/>
      <c r="B59" s="32">
        <v>9</v>
      </c>
      <c r="C59" s="32">
        <v>57</v>
      </c>
      <c r="D59" s="32">
        <v>60</v>
      </c>
      <c r="E59" s="32"/>
      <c r="F59" s="32"/>
      <c r="G59" s="32"/>
      <c r="H59" s="32"/>
      <c r="I59" s="32"/>
      <c r="J59" s="32"/>
      <c r="K59" s="32"/>
      <c r="L59" s="32"/>
      <c r="M59" s="39"/>
      <c r="N59" s="43">
        <f t="shared" si="0"/>
        <v>1</v>
      </c>
      <c r="O59" s="33"/>
      <c r="P59" s="32">
        <v>9</v>
      </c>
      <c r="Q59" s="32">
        <v>57</v>
      </c>
      <c r="R59" s="32">
        <v>60</v>
      </c>
      <c r="S59" s="32"/>
      <c r="T59" s="32"/>
      <c r="U59" s="32"/>
      <c r="V59" s="32"/>
      <c r="W59" s="32"/>
      <c r="X59">
        <f t="shared" si="1"/>
        <v>1</v>
      </c>
      <c r="AC59">
        <v>57</v>
      </c>
      <c r="AD59">
        <v>240</v>
      </c>
      <c r="AF59">
        <v>240</v>
      </c>
      <c r="AI59">
        <v>57</v>
      </c>
      <c r="AJ59">
        <v>48</v>
      </c>
      <c r="AK59">
        <v>96</v>
      </c>
      <c r="AL59">
        <v>48</v>
      </c>
      <c r="AM59">
        <v>96</v>
      </c>
      <c r="AN59">
        <v>48</v>
      </c>
      <c r="AO59">
        <v>96</v>
      </c>
      <c r="AP59">
        <v>6</v>
      </c>
      <c r="AU59">
        <v>57</v>
      </c>
      <c r="AV59">
        <v>4</v>
      </c>
      <c r="AW59">
        <v>4</v>
      </c>
      <c r="AX59">
        <v>4</v>
      </c>
      <c r="AY59">
        <v>5</v>
      </c>
      <c r="AZ59">
        <v>6</v>
      </c>
      <c r="BC59">
        <v>57</v>
      </c>
      <c r="BD59">
        <v>9</v>
      </c>
      <c r="BE59">
        <v>9</v>
      </c>
      <c r="BF59">
        <v>9</v>
      </c>
      <c r="BG59">
        <v>9</v>
      </c>
      <c r="BH59">
        <v>11</v>
      </c>
      <c r="BK59" s="32">
        <v>57</v>
      </c>
      <c r="BL59">
        <v>5</v>
      </c>
      <c r="BM59">
        <v>1</v>
      </c>
    </row>
    <row r="60" spans="1:65" x14ac:dyDescent="0.45">
      <c r="A60" s="33"/>
      <c r="B60" s="32">
        <v>10</v>
      </c>
      <c r="C60" s="32">
        <v>58</v>
      </c>
      <c r="D60" s="32">
        <v>60</v>
      </c>
      <c r="E60" s="32"/>
      <c r="F60" s="32"/>
      <c r="G60" s="32"/>
      <c r="H60" s="32"/>
      <c r="I60" s="32"/>
      <c r="J60" s="32"/>
      <c r="K60" s="32"/>
      <c r="L60" s="32"/>
      <c r="M60" s="39"/>
      <c r="N60" s="43">
        <f t="shared" si="0"/>
        <v>1</v>
      </c>
      <c r="O60" s="33"/>
      <c r="P60" s="32">
        <v>10</v>
      </c>
      <c r="Q60" s="32">
        <v>58</v>
      </c>
      <c r="R60" s="32">
        <v>60</v>
      </c>
      <c r="S60" s="32"/>
      <c r="T60" s="32"/>
      <c r="U60" s="32"/>
      <c r="V60" s="32"/>
      <c r="W60" s="32"/>
      <c r="X60">
        <f t="shared" si="1"/>
        <v>1</v>
      </c>
      <c r="AC60">
        <v>58</v>
      </c>
      <c r="AD60">
        <v>240</v>
      </c>
      <c r="AF60">
        <v>240</v>
      </c>
      <c r="AI60">
        <v>58</v>
      </c>
      <c r="AJ60">
        <v>48</v>
      </c>
      <c r="AK60">
        <v>96</v>
      </c>
      <c r="AL60">
        <v>48</v>
      </c>
      <c r="AM60">
        <v>96</v>
      </c>
      <c r="AN60">
        <v>48</v>
      </c>
      <c r="AO60">
        <v>96</v>
      </c>
      <c r="AP60">
        <v>6</v>
      </c>
      <c r="AU60">
        <v>58</v>
      </c>
      <c r="AV60">
        <v>4</v>
      </c>
      <c r="AW60">
        <v>4</v>
      </c>
      <c r="AX60">
        <v>4</v>
      </c>
      <c r="AY60">
        <v>5</v>
      </c>
      <c r="AZ60">
        <v>6</v>
      </c>
      <c r="BC60">
        <v>58</v>
      </c>
      <c r="BD60">
        <v>9</v>
      </c>
      <c r="BE60">
        <v>9</v>
      </c>
      <c r="BF60">
        <v>9</v>
      </c>
      <c r="BG60">
        <v>9</v>
      </c>
      <c r="BH60">
        <v>11</v>
      </c>
      <c r="BK60" s="32">
        <v>58</v>
      </c>
      <c r="BL60">
        <v>5</v>
      </c>
      <c r="BM60">
        <v>1</v>
      </c>
    </row>
    <row r="61" spans="1:65" x14ac:dyDescent="0.45">
      <c r="A61" s="33"/>
      <c r="B61" s="32">
        <v>11</v>
      </c>
      <c r="C61" s="32">
        <v>59</v>
      </c>
      <c r="D61" s="32">
        <v>60</v>
      </c>
      <c r="E61" s="32"/>
      <c r="F61" s="32"/>
      <c r="G61" s="32"/>
      <c r="H61" s="32"/>
      <c r="I61" s="32"/>
      <c r="J61" s="32"/>
      <c r="K61" s="32"/>
      <c r="L61" s="32"/>
      <c r="M61" s="39"/>
      <c r="N61" s="43">
        <f t="shared" si="0"/>
        <v>1</v>
      </c>
      <c r="O61" s="33"/>
      <c r="P61" s="32">
        <v>11</v>
      </c>
      <c r="Q61" s="32">
        <v>59</v>
      </c>
      <c r="R61" s="32">
        <v>60</v>
      </c>
      <c r="S61" s="32"/>
      <c r="T61" s="32"/>
      <c r="U61" s="32"/>
      <c r="V61" s="32"/>
      <c r="W61" s="32"/>
      <c r="X61">
        <f t="shared" si="1"/>
        <v>1</v>
      </c>
      <c r="AC61">
        <v>59</v>
      </c>
      <c r="AD61">
        <v>240</v>
      </c>
      <c r="AF61">
        <v>240</v>
      </c>
      <c r="AI61">
        <v>59</v>
      </c>
      <c r="AJ61">
        <v>48</v>
      </c>
      <c r="AK61">
        <v>96</v>
      </c>
      <c r="AL61">
        <v>48</v>
      </c>
      <c r="AM61">
        <v>96</v>
      </c>
      <c r="AN61">
        <v>48</v>
      </c>
      <c r="AO61">
        <v>96</v>
      </c>
      <c r="AP61">
        <v>6</v>
      </c>
      <c r="AU61">
        <v>59</v>
      </c>
      <c r="AV61">
        <v>4</v>
      </c>
      <c r="AW61">
        <v>4</v>
      </c>
      <c r="AX61">
        <v>4</v>
      </c>
      <c r="AY61">
        <v>5</v>
      </c>
      <c r="AZ61">
        <v>6</v>
      </c>
      <c r="BC61">
        <v>59</v>
      </c>
      <c r="BD61">
        <v>9</v>
      </c>
      <c r="BE61">
        <v>9</v>
      </c>
      <c r="BF61">
        <v>9</v>
      </c>
      <c r="BG61">
        <v>9</v>
      </c>
      <c r="BH61">
        <v>11</v>
      </c>
      <c r="BK61" s="32">
        <v>59</v>
      </c>
      <c r="BL61">
        <v>5</v>
      </c>
      <c r="BM61">
        <v>1</v>
      </c>
    </row>
    <row r="62" spans="1:65" x14ac:dyDescent="0.45">
      <c r="A62" s="33">
        <v>5</v>
      </c>
      <c r="B62" s="32"/>
      <c r="C62" s="32">
        <v>60</v>
      </c>
      <c r="D62" s="32">
        <v>60</v>
      </c>
      <c r="E62" s="32"/>
      <c r="F62" s="32"/>
      <c r="G62" s="32"/>
      <c r="H62" s="32"/>
      <c r="I62" s="32"/>
      <c r="J62" s="32"/>
      <c r="K62" s="32"/>
      <c r="L62" s="32"/>
      <c r="M62" s="39"/>
      <c r="N62" s="43">
        <f t="shared" si="0"/>
        <v>1</v>
      </c>
      <c r="O62" s="33">
        <v>5</v>
      </c>
      <c r="P62" s="32"/>
      <c r="Q62" s="32">
        <v>60</v>
      </c>
      <c r="R62" s="32">
        <v>60</v>
      </c>
      <c r="S62" s="32"/>
      <c r="T62" s="32"/>
      <c r="U62" s="32"/>
      <c r="V62" s="32"/>
      <c r="W62" s="32"/>
      <c r="X62">
        <f t="shared" si="1"/>
        <v>1</v>
      </c>
      <c r="AC62">
        <v>60</v>
      </c>
      <c r="AD62">
        <v>240</v>
      </c>
      <c r="AF62">
        <v>240</v>
      </c>
      <c r="AI62">
        <v>60</v>
      </c>
      <c r="AJ62">
        <v>48</v>
      </c>
      <c r="AK62">
        <v>96</v>
      </c>
      <c r="AL62">
        <v>48</v>
      </c>
      <c r="AM62">
        <v>96</v>
      </c>
      <c r="AN62">
        <v>48</v>
      </c>
      <c r="AO62">
        <v>96</v>
      </c>
      <c r="AP62">
        <v>7</v>
      </c>
      <c r="AU62">
        <v>60</v>
      </c>
      <c r="AV62">
        <v>4</v>
      </c>
      <c r="AW62">
        <v>4</v>
      </c>
      <c r="AX62">
        <v>4</v>
      </c>
      <c r="AY62">
        <v>5</v>
      </c>
      <c r="AZ62">
        <v>6</v>
      </c>
      <c r="BC62">
        <v>60</v>
      </c>
      <c r="BD62">
        <v>9</v>
      </c>
      <c r="BE62">
        <v>9</v>
      </c>
      <c r="BF62">
        <v>9</v>
      </c>
      <c r="BG62">
        <v>9</v>
      </c>
      <c r="BH62">
        <v>11</v>
      </c>
      <c r="BK62" s="32">
        <v>60</v>
      </c>
      <c r="BL62">
        <v>5</v>
      </c>
      <c r="BM62">
        <v>1</v>
      </c>
    </row>
    <row r="63" spans="1:65" x14ac:dyDescent="0.45">
      <c r="A63" s="33"/>
      <c r="B63" s="32">
        <v>1</v>
      </c>
      <c r="C63" s="32">
        <v>61</v>
      </c>
      <c r="D63" s="32">
        <v>72</v>
      </c>
      <c r="E63" s="32"/>
      <c r="F63" s="32"/>
      <c r="G63" s="32"/>
      <c r="H63" s="32"/>
      <c r="I63" s="32"/>
      <c r="J63" s="32"/>
      <c r="K63" s="32"/>
      <c r="L63" s="32"/>
      <c r="M63" s="39"/>
      <c r="N63" s="43">
        <f t="shared" si="0"/>
        <v>1</v>
      </c>
      <c r="O63" s="33"/>
      <c r="P63" s="32">
        <v>1</v>
      </c>
      <c r="Q63" s="32">
        <v>61</v>
      </c>
      <c r="R63" s="32">
        <v>72</v>
      </c>
      <c r="S63" s="32"/>
      <c r="T63" s="32"/>
      <c r="U63" s="32"/>
      <c r="V63" s="32"/>
      <c r="W63" s="32"/>
      <c r="X63">
        <f t="shared" si="1"/>
        <v>1</v>
      </c>
      <c r="AC63">
        <v>61</v>
      </c>
      <c r="AD63">
        <v>240</v>
      </c>
      <c r="AF63">
        <v>240</v>
      </c>
      <c r="AI63">
        <v>61</v>
      </c>
      <c r="AJ63">
        <v>48</v>
      </c>
      <c r="AK63">
        <v>96</v>
      </c>
      <c r="AL63">
        <v>48</v>
      </c>
      <c r="AM63">
        <v>96</v>
      </c>
      <c r="AN63">
        <v>48</v>
      </c>
      <c r="AO63">
        <v>96</v>
      </c>
      <c r="AP63">
        <v>7</v>
      </c>
      <c r="AU63">
        <v>61</v>
      </c>
      <c r="AV63">
        <v>4</v>
      </c>
      <c r="AW63">
        <v>4</v>
      </c>
      <c r="AX63">
        <v>4</v>
      </c>
      <c r="AY63">
        <v>5</v>
      </c>
      <c r="AZ63">
        <v>6</v>
      </c>
      <c r="BC63">
        <v>61</v>
      </c>
      <c r="BD63">
        <v>9</v>
      </c>
      <c r="BE63">
        <v>9</v>
      </c>
      <c r="BF63">
        <v>9</v>
      </c>
      <c r="BG63">
        <v>9</v>
      </c>
      <c r="BH63">
        <v>11</v>
      </c>
      <c r="BK63" s="32">
        <v>61</v>
      </c>
      <c r="BL63">
        <v>5</v>
      </c>
      <c r="BM63">
        <v>1</v>
      </c>
    </row>
    <row r="64" spans="1:65" x14ac:dyDescent="0.45">
      <c r="A64" s="33"/>
      <c r="B64" s="32">
        <v>2</v>
      </c>
      <c r="C64" s="32">
        <v>62</v>
      </c>
      <c r="D64" s="32">
        <v>72</v>
      </c>
      <c r="E64" s="32"/>
      <c r="F64" s="32"/>
      <c r="G64" s="32"/>
      <c r="H64" s="32"/>
      <c r="I64" s="32"/>
      <c r="J64" s="32"/>
      <c r="K64" s="32"/>
      <c r="L64" s="32"/>
      <c r="M64" s="39"/>
      <c r="N64" s="43">
        <f t="shared" si="0"/>
        <v>1</v>
      </c>
      <c r="O64" s="33"/>
      <c r="P64" s="32">
        <v>2</v>
      </c>
      <c r="Q64" s="32">
        <v>62</v>
      </c>
      <c r="R64" s="32">
        <v>72</v>
      </c>
      <c r="S64" s="32"/>
      <c r="T64" s="32"/>
      <c r="U64" s="32"/>
      <c r="V64" s="32"/>
      <c r="W64" s="32"/>
      <c r="X64">
        <f t="shared" si="1"/>
        <v>1</v>
      </c>
      <c r="AC64">
        <v>62</v>
      </c>
      <c r="AD64">
        <v>240</v>
      </c>
      <c r="AF64">
        <v>240</v>
      </c>
      <c r="AI64">
        <v>62</v>
      </c>
      <c r="AJ64">
        <v>48</v>
      </c>
      <c r="AK64">
        <v>96</v>
      </c>
      <c r="AL64">
        <v>48</v>
      </c>
      <c r="AM64">
        <v>96</v>
      </c>
      <c r="AN64">
        <v>48</v>
      </c>
      <c r="AO64">
        <v>96</v>
      </c>
      <c r="AP64">
        <v>7</v>
      </c>
      <c r="AU64">
        <v>62</v>
      </c>
      <c r="AV64">
        <v>4</v>
      </c>
      <c r="AW64">
        <v>4</v>
      </c>
      <c r="AX64">
        <v>4</v>
      </c>
      <c r="AY64">
        <v>5</v>
      </c>
      <c r="AZ64">
        <v>6</v>
      </c>
      <c r="BC64">
        <v>62</v>
      </c>
      <c r="BD64">
        <v>9</v>
      </c>
      <c r="BE64">
        <v>9</v>
      </c>
      <c r="BF64">
        <v>9</v>
      </c>
      <c r="BG64">
        <v>9</v>
      </c>
      <c r="BH64">
        <v>11</v>
      </c>
      <c r="BK64" s="32">
        <v>62</v>
      </c>
      <c r="BL64">
        <v>5</v>
      </c>
      <c r="BM64">
        <v>1</v>
      </c>
    </row>
    <row r="65" spans="1:65" x14ac:dyDescent="0.45">
      <c r="A65" s="33"/>
      <c r="B65" s="32">
        <v>3</v>
      </c>
      <c r="C65" s="32">
        <v>63</v>
      </c>
      <c r="D65" s="32">
        <v>72</v>
      </c>
      <c r="E65" s="32"/>
      <c r="F65" s="32"/>
      <c r="G65" s="32"/>
      <c r="H65" s="32"/>
      <c r="I65" s="32"/>
      <c r="J65" s="32"/>
      <c r="K65" s="32"/>
      <c r="L65" s="32"/>
      <c r="M65" s="39"/>
      <c r="N65" s="43">
        <f t="shared" si="0"/>
        <v>1</v>
      </c>
      <c r="O65" s="33"/>
      <c r="P65" s="32">
        <v>3</v>
      </c>
      <c r="Q65" s="32">
        <v>63</v>
      </c>
      <c r="R65" s="32">
        <v>72</v>
      </c>
      <c r="S65" s="32"/>
      <c r="T65" s="32"/>
      <c r="U65" s="32"/>
      <c r="V65" s="32"/>
      <c r="W65" s="32"/>
      <c r="X65">
        <f t="shared" si="1"/>
        <v>1</v>
      </c>
      <c r="AC65">
        <v>63</v>
      </c>
      <c r="AD65">
        <v>240</v>
      </c>
      <c r="AF65">
        <v>240</v>
      </c>
      <c r="AI65">
        <v>63</v>
      </c>
      <c r="AJ65">
        <v>48</v>
      </c>
      <c r="AK65">
        <v>96</v>
      </c>
      <c r="AL65">
        <v>48</v>
      </c>
      <c r="AM65">
        <v>96</v>
      </c>
      <c r="AN65">
        <v>48</v>
      </c>
      <c r="AO65">
        <v>96</v>
      </c>
      <c r="AP65">
        <v>7</v>
      </c>
      <c r="AU65">
        <v>63</v>
      </c>
      <c r="AV65">
        <v>4</v>
      </c>
      <c r="AW65">
        <v>4</v>
      </c>
      <c r="AX65">
        <v>4</v>
      </c>
      <c r="AY65">
        <v>5</v>
      </c>
      <c r="AZ65">
        <v>6</v>
      </c>
      <c r="BC65">
        <v>63</v>
      </c>
      <c r="BD65">
        <v>9</v>
      </c>
      <c r="BE65">
        <v>9</v>
      </c>
      <c r="BF65">
        <v>9</v>
      </c>
      <c r="BG65">
        <v>9</v>
      </c>
      <c r="BH65">
        <v>11</v>
      </c>
      <c r="BK65" s="32">
        <v>63</v>
      </c>
      <c r="BL65">
        <v>5</v>
      </c>
      <c r="BM65">
        <v>1</v>
      </c>
    </row>
    <row r="66" spans="1:65" x14ac:dyDescent="0.45">
      <c r="A66" s="33"/>
      <c r="B66" s="32">
        <v>4</v>
      </c>
      <c r="C66" s="32">
        <v>64</v>
      </c>
      <c r="D66" s="32">
        <v>72</v>
      </c>
      <c r="E66" s="32"/>
      <c r="F66" s="32"/>
      <c r="G66" s="32"/>
      <c r="H66" s="32"/>
      <c r="I66" s="32"/>
      <c r="J66" s="32"/>
      <c r="K66" s="32"/>
      <c r="L66" s="32"/>
      <c r="M66" s="39"/>
      <c r="N66" s="43">
        <f t="shared" si="0"/>
        <v>1</v>
      </c>
      <c r="O66" s="33"/>
      <c r="P66" s="32">
        <v>4</v>
      </c>
      <c r="Q66" s="32">
        <v>64</v>
      </c>
      <c r="R66" s="32">
        <v>72</v>
      </c>
      <c r="S66" s="32"/>
      <c r="T66" s="32"/>
      <c r="U66" s="32"/>
      <c r="V66" s="32"/>
      <c r="W66" s="32"/>
      <c r="X66">
        <f t="shared" si="1"/>
        <v>1</v>
      </c>
      <c r="AC66">
        <v>64</v>
      </c>
      <c r="AD66">
        <v>240</v>
      </c>
      <c r="AF66">
        <v>240</v>
      </c>
      <c r="AI66">
        <v>64</v>
      </c>
      <c r="AJ66">
        <v>48</v>
      </c>
      <c r="AK66">
        <v>96</v>
      </c>
      <c r="AL66">
        <v>48</v>
      </c>
      <c r="AM66">
        <v>96</v>
      </c>
      <c r="AN66">
        <v>48</v>
      </c>
      <c r="AO66">
        <v>96</v>
      </c>
      <c r="AP66">
        <v>7</v>
      </c>
      <c r="AU66">
        <v>64</v>
      </c>
      <c r="AV66">
        <v>4</v>
      </c>
      <c r="AW66">
        <v>4</v>
      </c>
      <c r="AX66">
        <v>4</v>
      </c>
      <c r="AY66">
        <v>5</v>
      </c>
      <c r="AZ66">
        <v>6</v>
      </c>
      <c r="BC66">
        <v>64</v>
      </c>
      <c r="BD66">
        <v>9</v>
      </c>
      <c r="BE66">
        <v>9</v>
      </c>
      <c r="BF66">
        <v>9</v>
      </c>
      <c r="BG66">
        <v>9</v>
      </c>
      <c r="BH66">
        <v>11</v>
      </c>
      <c r="BK66" s="32">
        <v>64</v>
      </c>
      <c r="BL66">
        <v>5</v>
      </c>
      <c r="BM66">
        <v>1</v>
      </c>
    </row>
    <row r="67" spans="1:65" x14ac:dyDescent="0.45">
      <c r="A67" s="33"/>
      <c r="B67" s="32">
        <v>5</v>
      </c>
      <c r="C67" s="32">
        <v>65</v>
      </c>
      <c r="D67" s="32">
        <v>72</v>
      </c>
      <c r="E67" s="32"/>
      <c r="F67" s="32"/>
      <c r="G67" s="32"/>
      <c r="H67" s="32"/>
      <c r="I67" s="32"/>
      <c r="J67" s="32"/>
      <c r="K67" s="32"/>
      <c r="L67" s="32"/>
      <c r="M67" s="39"/>
      <c r="N67" s="43">
        <f t="shared" si="0"/>
        <v>1</v>
      </c>
      <c r="O67" s="33"/>
      <c r="P67" s="32">
        <v>5</v>
      </c>
      <c r="Q67" s="32">
        <v>65</v>
      </c>
      <c r="R67" s="32">
        <v>72</v>
      </c>
      <c r="S67" s="32"/>
      <c r="T67" s="32"/>
      <c r="U67" s="32"/>
      <c r="V67" s="32"/>
      <c r="W67" s="32"/>
      <c r="X67">
        <f t="shared" si="1"/>
        <v>1</v>
      </c>
      <c r="AC67">
        <v>65</v>
      </c>
      <c r="AD67">
        <v>240</v>
      </c>
      <c r="AF67">
        <v>240</v>
      </c>
      <c r="AI67">
        <v>65</v>
      </c>
      <c r="AJ67">
        <v>48</v>
      </c>
      <c r="AK67">
        <v>96</v>
      </c>
      <c r="AL67">
        <v>48</v>
      </c>
      <c r="AM67">
        <v>96</v>
      </c>
      <c r="AN67">
        <v>48</v>
      </c>
      <c r="AO67">
        <v>96</v>
      </c>
      <c r="AP67">
        <v>7</v>
      </c>
      <c r="AU67">
        <v>65</v>
      </c>
      <c r="AV67">
        <v>4</v>
      </c>
      <c r="AW67">
        <v>4</v>
      </c>
      <c r="AX67">
        <v>4</v>
      </c>
      <c r="AY67">
        <v>5</v>
      </c>
      <c r="AZ67">
        <v>6</v>
      </c>
      <c r="BC67">
        <v>65</v>
      </c>
      <c r="BD67">
        <v>9</v>
      </c>
      <c r="BE67">
        <v>9</v>
      </c>
      <c r="BF67">
        <v>9</v>
      </c>
      <c r="BG67">
        <v>9</v>
      </c>
      <c r="BH67">
        <v>11</v>
      </c>
      <c r="BK67" s="32">
        <v>65</v>
      </c>
      <c r="BL67">
        <v>5</v>
      </c>
      <c r="BM67">
        <v>1</v>
      </c>
    </row>
    <row r="68" spans="1:65" x14ac:dyDescent="0.45">
      <c r="A68" s="33"/>
      <c r="B68" s="32">
        <v>6</v>
      </c>
      <c r="C68" s="32">
        <v>66</v>
      </c>
      <c r="D68" s="32">
        <v>72</v>
      </c>
      <c r="E68" s="32"/>
      <c r="F68" s="32"/>
      <c r="G68" s="32"/>
      <c r="H68" s="32"/>
      <c r="I68" s="32"/>
      <c r="J68" s="32"/>
      <c r="K68" s="32"/>
      <c r="L68" s="32"/>
      <c r="M68" s="39"/>
      <c r="N68" s="43">
        <f t="shared" ref="N68:N131" si="2">COUNT(D68:M68)</f>
        <v>1</v>
      </c>
      <c r="O68" s="33"/>
      <c r="P68" s="32">
        <v>6</v>
      </c>
      <c r="Q68" s="32">
        <v>66</v>
      </c>
      <c r="R68" s="32">
        <v>72</v>
      </c>
      <c r="S68" s="32"/>
      <c r="T68" s="32"/>
      <c r="U68" s="32"/>
      <c r="V68" s="32"/>
      <c r="W68" s="32"/>
      <c r="X68">
        <f t="shared" ref="X68:X131" si="3">COUNT(R68:W68)</f>
        <v>1</v>
      </c>
      <c r="AC68">
        <v>66</v>
      </c>
      <c r="AD68">
        <v>240</v>
      </c>
      <c r="AF68">
        <v>240</v>
      </c>
      <c r="AI68">
        <v>66</v>
      </c>
      <c r="AJ68">
        <v>48</v>
      </c>
      <c r="AK68">
        <v>96</v>
      </c>
      <c r="AL68">
        <v>48</v>
      </c>
      <c r="AM68">
        <v>96</v>
      </c>
      <c r="AN68">
        <v>48</v>
      </c>
      <c r="AO68">
        <v>96</v>
      </c>
      <c r="AP68">
        <v>7</v>
      </c>
      <c r="AU68">
        <v>66</v>
      </c>
      <c r="AV68">
        <v>4</v>
      </c>
      <c r="AW68">
        <v>4</v>
      </c>
      <c r="AX68">
        <v>4</v>
      </c>
      <c r="AY68">
        <v>5</v>
      </c>
      <c r="AZ68">
        <v>6</v>
      </c>
      <c r="BC68">
        <v>66</v>
      </c>
      <c r="BD68">
        <v>9</v>
      </c>
      <c r="BE68">
        <v>9</v>
      </c>
      <c r="BF68">
        <v>9</v>
      </c>
      <c r="BG68">
        <v>9</v>
      </c>
      <c r="BH68">
        <v>11</v>
      </c>
      <c r="BK68" s="32">
        <v>66</v>
      </c>
      <c r="BL68">
        <v>5</v>
      </c>
      <c r="BM68">
        <v>1</v>
      </c>
    </row>
    <row r="69" spans="1:65" x14ac:dyDescent="0.45">
      <c r="A69" s="33"/>
      <c r="B69" s="32">
        <v>7</v>
      </c>
      <c r="C69" s="32">
        <v>67</v>
      </c>
      <c r="D69" s="32">
        <v>72</v>
      </c>
      <c r="E69" s="32"/>
      <c r="F69" s="32"/>
      <c r="G69" s="32"/>
      <c r="H69" s="32"/>
      <c r="I69" s="32"/>
      <c r="J69" s="32"/>
      <c r="K69" s="32"/>
      <c r="L69" s="32"/>
      <c r="M69" s="39"/>
      <c r="N69" s="43">
        <f t="shared" si="2"/>
        <v>1</v>
      </c>
      <c r="O69" s="33"/>
      <c r="P69" s="32">
        <v>7</v>
      </c>
      <c r="Q69" s="32">
        <v>67</v>
      </c>
      <c r="R69" s="32">
        <v>72</v>
      </c>
      <c r="S69" s="32"/>
      <c r="T69" s="32"/>
      <c r="U69" s="32"/>
      <c r="V69" s="32"/>
      <c r="W69" s="32"/>
      <c r="X69">
        <f t="shared" si="3"/>
        <v>1</v>
      </c>
      <c r="AC69">
        <v>67</v>
      </c>
      <c r="AD69">
        <v>240</v>
      </c>
      <c r="AF69">
        <v>240</v>
      </c>
      <c r="AI69">
        <v>67</v>
      </c>
      <c r="AJ69">
        <v>48</v>
      </c>
      <c r="AK69">
        <v>96</v>
      </c>
      <c r="AL69">
        <v>48</v>
      </c>
      <c r="AM69">
        <v>96</v>
      </c>
      <c r="AN69">
        <v>48</v>
      </c>
      <c r="AO69">
        <v>96</v>
      </c>
      <c r="AP69">
        <v>7</v>
      </c>
      <c r="AU69">
        <v>67</v>
      </c>
      <c r="AV69">
        <v>4</v>
      </c>
      <c r="AW69">
        <v>4</v>
      </c>
      <c r="AX69">
        <v>4</v>
      </c>
      <c r="AY69">
        <v>5</v>
      </c>
      <c r="AZ69">
        <v>6</v>
      </c>
      <c r="BC69">
        <v>67</v>
      </c>
      <c r="BD69">
        <v>9</v>
      </c>
      <c r="BE69">
        <v>9</v>
      </c>
      <c r="BF69">
        <v>9</v>
      </c>
      <c r="BG69">
        <v>9</v>
      </c>
      <c r="BH69">
        <v>11</v>
      </c>
      <c r="BK69" s="32">
        <v>67</v>
      </c>
      <c r="BL69">
        <v>5</v>
      </c>
      <c r="BM69">
        <v>1</v>
      </c>
    </row>
    <row r="70" spans="1:65" x14ac:dyDescent="0.45">
      <c r="A70" s="33"/>
      <c r="B70" s="32">
        <v>8</v>
      </c>
      <c r="C70" s="32">
        <v>68</v>
      </c>
      <c r="D70" s="32">
        <v>72</v>
      </c>
      <c r="E70" s="32"/>
      <c r="F70" s="32"/>
      <c r="G70" s="32"/>
      <c r="H70" s="32"/>
      <c r="I70" s="32"/>
      <c r="J70" s="32"/>
      <c r="K70" s="32"/>
      <c r="L70" s="32"/>
      <c r="M70" s="39"/>
      <c r="N70" s="43">
        <f t="shared" si="2"/>
        <v>1</v>
      </c>
      <c r="O70" s="33"/>
      <c r="P70" s="32">
        <v>8</v>
      </c>
      <c r="Q70" s="32">
        <v>68</v>
      </c>
      <c r="R70" s="32">
        <v>72</v>
      </c>
      <c r="S70" s="32"/>
      <c r="T70" s="32"/>
      <c r="U70" s="32"/>
      <c r="V70" s="32"/>
      <c r="W70" s="32"/>
      <c r="X70">
        <f t="shared" si="3"/>
        <v>1</v>
      </c>
      <c r="AC70">
        <v>68</v>
      </c>
      <c r="AD70">
        <v>240</v>
      </c>
      <c r="AF70">
        <v>240</v>
      </c>
      <c r="AI70">
        <v>68</v>
      </c>
      <c r="AJ70">
        <v>48</v>
      </c>
      <c r="AK70">
        <v>96</v>
      </c>
      <c r="AL70">
        <v>48</v>
      </c>
      <c r="AM70">
        <v>96</v>
      </c>
      <c r="AN70">
        <v>48</v>
      </c>
      <c r="AO70">
        <v>96</v>
      </c>
      <c r="AP70">
        <v>7</v>
      </c>
      <c r="AU70">
        <v>68</v>
      </c>
      <c r="AV70">
        <v>4</v>
      </c>
      <c r="AW70">
        <v>4</v>
      </c>
      <c r="AX70">
        <v>4</v>
      </c>
      <c r="AY70">
        <v>5</v>
      </c>
      <c r="AZ70">
        <v>6</v>
      </c>
      <c r="BC70">
        <v>68</v>
      </c>
      <c r="BD70">
        <v>9</v>
      </c>
      <c r="BE70">
        <v>9</v>
      </c>
      <c r="BF70">
        <v>9</v>
      </c>
      <c r="BG70">
        <v>9</v>
      </c>
      <c r="BH70">
        <v>11</v>
      </c>
      <c r="BK70" s="32">
        <v>68</v>
      </c>
      <c r="BL70">
        <v>5</v>
      </c>
      <c r="BM70">
        <v>1</v>
      </c>
    </row>
    <row r="71" spans="1:65" x14ac:dyDescent="0.45">
      <c r="A71" s="33"/>
      <c r="B71" s="32">
        <v>9</v>
      </c>
      <c r="C71" s="32">
        <v>69</v>
      </c>
      <c r="D71" s="32">
        <v>72</v>
      </c>
      <c r="E71" s="32"/>
      <c r="F71" s="32"/>
      <c r="G71" s="32"/>
      <c r="H71" s="32"/>
      <c r="I71" s="32"/>
      <c r="J71" s="32"/>
      <c r="K71" s="32"/>
      <c r="L71" s="32"/>
      <c r="M71" s="39"/>
      <c r="N71" s="43">
        <f t="shared" si="2"/>
        <v>1</v>
      </c>
      <c r="O71" s="33"/>
      <c r="P71" s="32">
        <v>9</v>
      </c>
      <c r="Q71" s="32">
        <v>69</v>
      </c>
      <c r="R71" s="32">
        <v>72</v>
      </c>
      <c r="S71" s="32"/>
      <c r="T71" s="32"/>
      <c r="U71" s="32"/>
      <c r="V71" s="32"/>
      <c r="W71" s="32"/>
      <c r="X71">
        <f t="shared" si="3"/>
        <v>1</v>
      </c>
      <c r="AC71">
        <v>69</v>
      </c>
      <c r="AD71">
        <v>240</v>
      </c>
      <c r="AF71">
        <v>240</v>
      </c>
      <c r="AI71">
        <v>69</v>
      </c>
      <c r="AJ71">
        <v>48</v>
      </c>
      <c r="AK71">
        <v>96</v>
      </c>
      <c r="AL71">
        <v>48</v>
      </c>
      <c r="AM71">
        <v>96</v>
      </c>
      <c r="AN71">
        <v>48</v>
      </c>
      <c r="AO71">
        <v>96</v>
      </c>
      <c r="AP71">
        <v>7</v>
      </c>
      <c r="AU71">
        <v>69</v>
      </c>
      <c r="AV71">
        <v>4</v>
      </c>
      <c r="AW71">
        <v>4</v>
      </c>
      <c r="AX71">
        <v>4</v>
      </c>
      <c r="AY71">
        <v>5</v>
      </c>
      <c r="AZ71">
        <v>6</v>
      </c>
      <c r="BC71">
        <v>69</v>
      </c>
      <c r="BD71">
        <v>9</v>
      </c>
      <c r="BE71">
        <v>9</v>
      </c>
      <c r="BF71">
        <v>9</v>
      </c>
      <c r="BG71">
        <v>9</v>
      </c>
      <c r="BH71">
        <v>11</v>
      </c>
      <c r="BK71" s="32">
        <v>69</v>
      </c>
      <c r="BL71">
        <v>5</v>
      </c>
      <c r="BM71">
        <v>1</v>
      </c>
    </row>
    <row r="72" spans="1:65" x14ac:dyDescent="0.45">
      <c r="A72" s="33"/>
      <c r="B72" s="32">
        <v>10</v>
      </c>
      <c r="C72" s="32">
        <v>70</v>
      </c>
      <c r="D72" s="32">
        <v>72</v>
      </c>
      <c r="E72" s="32"/>
      <c r="F72" s="32"/>
      <c r="G72" s="32"/>
      <c r="H72" s="32"/>
      <c r="I72" s="32"/>
      <c r="J72" s="32"/>
      <c r="K72" s="32"/>
      <c r="L72" s="32"/>
      <c r="M72" s="39"/>
      <c r="N72" s="43">
        <f t="shared" si="2"/>
        <v>1</v>
      </c>
      <c r="O72" s="33"/>
      <c r="P72" s="32">
        <v>10</v>
      </c>
      <c r="Q72" s="32">
        <v>70</v>
      </c>
      <c r="R72" s="32">
        <v>72</v>
      </c>
      <c r="S72" s="32"/>
      <c r="T72" s="32"/>
      <c r="U72" s="32"/>
      <c r="V72" s="32"/>
      <c r="W72" s="32"/>
      <c r="X72">
        <f t="shared" si="3"/>
        <v>1</v>
      </c>
      <c r="AC72">
        <v>70</v>
      </c>
      <c r="AD72">
        <v>240</v>
      </c>
      <c r="AF72">
        <v>240</v>
      </c>
      <c r="AI72">
        <v>70</v>
      </c>
      <c r="AJ72">
        <v>48</v>
      </c>
      <c r="AK72">
        <v>96</v>
      </c>
      <c r="AL72">
        <v>48</v>
      </c>
      <c r="AM72">
        <v>96</v>
      </c>
      <c r="AN72">
        <v>48</v>
      </c>
      <c r="AO72">
        <v>96</v>
      </c>
      <c r="AP72">
        <v>7</v>
      </c>
      <c r="AU72">
        <v>70</v>
      </c>
      <c r="AV72">
        <v>4</v>
      </c>
      <c r="AW72">
        <v>4</v>
      </c>
      <c r="AX72">
        <v>4</v>
      </c>
      <c r="AY72">
        <v>5</v>
      </c>
      <c r="AZ72">
        <v>6</v>
      </c>
      <c r="BC72">
        <v>70</v>
      </c>
      <c r="BD72">
        <v>9</v>
      </c>
      <c r="BE72">
        <v>9</v>
      </c>
      <c r="BF72">
        <v>9</v>
      </c>
      <c r="BG72">
        <v>9</v>
      </c>
      <c r="BH72">
        <v>11</v>
      </c>
      <c r="BK72" s="32">
        <v>70</v>
      </c>
      <c r="BL72">
        <v>5</v>
      </c>
      <c r="BM72">
        <v>1</v>
      </c>
    </row>
    <row r="73" spans="1:65" x14ac:dyDescent="0.45">
      <c r="A73" s="33"/>
      <c r="B73" s="32">
        <v>11</v>
      </c>
      <c r="C73" s="32">
        <v>71</v>
      </c>
      <c r="D73" s="32">
        <v>72</v>
      </c>
      <c r="E73" s="32"/>
      <c r="F73" s="32"/>
      <c r="G73" s="32"/>
      <c r="H73" s="32"/>
      <c r="I73" s="32"/>
      <c r="J73" s="32"/>
      <c r="K73" s="32"/>
      <c r="L73" s="32"/>
      <c r="M73" s="39"/>
      <c r="N73" s="43">
        <f t="shared" si="2"/>
        <v>1</v>
      </c>
      <c r="O73" s="33"/>
      <c r="P73" s="32">
        <v>11</v>
      </c>
      <c r="Q73" s="32">
        <v>71</v>
      </c>
      <c r="R73" s="32">
        <v>72</v>
      </c>
      <c r="S73" s="32"/>
      <c r="T73" s="32"/>
      <c r="U73" s="32"/>
      <c r="V73" s="32"/>
      <c r="W73" s="32"/>
      <c r="X73">
        <f t="shared" si="3"/>
        <v>1</v>
      </c>
      <c r="AC73">
        <v>71</v>
      </c>
      <c r="AD73">
        <v>240</v>
      </c>
      <c r="AF73">
        <v>240</v>
      </c>
      <c r="AI73">
        <v>71</v>
      </c>
      <c r="AJ73">
        <v>48</v>
      </c>
      <c r="AK73">
        <v>96</v>
      </c>
      <c r="AL73">
        <v>48</v>
      </c>
      <c r="AM73">
        <v>96</v>
      </c>
      <c r="AN73">
        <v>48</v>
      </c>
      <c r="AO73">
        <v>96</v>
      </c>
      <c r="AP73">
        <v>7</v>
      </c>
      <c r="AU73">
        <v>71</v>
      </c>
      <c r="AV73">
        <v>4</v>
      </c>
      <c r="AW73">
        <v>4</v>
      </c>
      <c r="AX73">
        <v>4</v>
      </c>
      <c r="AY73">
        <v>5</v>
      </c>
      <c r="AZ73">
        <v>6</v>
      </c>
      <c r="BC73">
        <v>71</v>
      </c>
      <c r="BD73">
        <v>9</v>
      </c>
      <c r="BE73">
        <v>9</v>
      </c>
      <c r="BF73">
        <v>9</v>
      </c>
      <c r="BG73">
        <v>9</v>
      </c>
      <c r="BH73">
        <v>11</v>
      </c>
      <c r="BK73" s="32">
        <v>71</v>
      </c>
      <c r="BL73">
        <v>5</v>
      </c>
      <c r="BM73">
        <v>1</v>
      </c>
    </row>
    <row r="74" spans="1:65" x14ac:dyDescent="0.45">
      <c r="A74" s="33">
        <v>6</v>
      </c>
      <c r="B74" s="32"/>
      <c r="C74" s="32">
        <v>72</v>
      </c>
      <c r="D74" s="32">
        <v>72</v>
      </c>
      <c r="E74" s="32"/>
      <c r="F74" s="32"/>
      <c r="G74" s="32"/>
      <c r="H74" s="32"/>
      <c r="I74" s="32"/>
      <c r="J74" s="32"/>
      <c r="K74" s="32"/>
      <c r="L74" s="32"/>
      <c r="M74" s="39"/>
      <c r="N74" s="43">
        <f t="shared" si="2"/>
        <v>1</v>
      </c>
      <c r="O74" s="33">
        <v>6</v>
      </c>
      <c r="P74" s="32"/>
      <c r="Q74" s="32">
        <v>72</v>
      </c>
      <c r="R74" s="32">
        <v>72</v>
      </c>
      <c r="S74" s="32"/>
      <c r="T74" s="32"/>
      <c r="U74" s="32"/>
      <c r="V74" s="32"/>
      <c r="W74" s="32"/>
      <c r="X74">
        <f t="shared" si="3"/>
        <v>1</v>
      </c>
      <c r="AC74">
        <v>72</v>
      </c>
      <c r="AD74">
        <v>240</v>
      </c>
      <c r="AF74">
        <v>240</v>
      </c>
      <c r="AI74">
        <v>72</v>
      </c>
      <c r="AJ74">
        <v>48</v>
      </c>
      <c r="AK74">
        <v>96</v>
      </c>
      <c r="AL74">
        <v>48</v>
      </c>
      <c r="AM74">
        <v>96</v>
      </c>
      <c r="AN74">
        <v>48</v>
      </c>
      <c r="AO74">
        <v>96</v>
      </c>
      <c r="AP74">
        <v>7</v>
      </c>
      <c r="AU74">
        <v>72</v>
      </c>
      <c r="AV74">
        <v>4</v>
      </c>
      <c r="AW74">
        <v>4</v>
      </c>
      <c r="AX74">
        <v>4</v>
      </c>
      <c r="AY74">
        <v>5</v>
      </c>
      <c r="AZ74">
        <v>6</v>
      </c>
      <c r="BC74">
        <v>72</v>
      </c>
      <c r="BD74">
        <v>9</v>
      </c>
      <c r="BE74">
        <v>9</v>
      </c>
      <c r="BF74">
        <v>9</v>
      </c>
      <c r="BG74">
        <v>9</v>
      </c>
      <c r="BH74">
        <v>11</v>
      </c>
      <c r="BK74" s="32">
        <v>72</v>
      </c>
      <c r="BL74">
        <v>5</v>
      </c>
      <c r="BM74">
        <v>1</v>
      </c>
    </row>
    <row r="75" spans="1:65" x14ac:dyDescent="0.45">
      <c r="A75" s="33"/>
      <c r="B75" s="32">
        <v>1</v>
      </c>
      <c r="C75" s="32">
        <v>73</v>
      </c>
      <c r="D75" s="32">
        <v>48</v>
      </c>
      <c r="E75" s="32">
        <v>48</v>
      </c>
      <c r="F75" s="32"/>
      <c r="G75" s="32"/>
      <c r="H75" s="32"/>
      <c r="I75" s="32"/>
      <c r="J75" s="32"/>
      <c r="K75" s="32"/>
      <c r="L75" s="32"/>
      <c r="M75" s="39"/>
      <c r="N75" s="43">
        <f t="shared" si="2"/>
        <v>2</v>
      </c>
      <c r="O75" s="33"/>
      <c r="P75" s="32">
        <v>1</v>
      </c>
      <c r="Q75" s="32">
        <v>73</v>
      </c>
      <c r="R75" s="32">
        <v>96</v>
      </c>
      <c r="S75" s="32"/>
      <c r="T75" s="32"/>
      <c r="U75" s="32"/>
      <c r="V75" s="32"/>
      <c r="W75" s="32"/>
      <c r="X75">
        <f t="shared" si="3"/>
        <v>1</v>
      </c>
      <c r="AC75">
        <v>73</v>
      </c>
      <c r="AD75">
        <v>240</v>
      </c>
      <c r="AF75">
        <v>240</v>
      </c>
      <c r="AI75">
        <v>73</v>
      </c>
      <c r="AJ75">
        <v>48</v>
      </c>
      <c r="AK75">
        <v>96</v>
      </c>
      <c r="AL75">
        <v>48</v>
      </c>
      <c r="AM75">
        <v>96</v>
      </c>
      <c r="AN75">
        <v>48</v>
      </c>
      <c r="AO75">
        <v>96</v>
      </c>
      <c r="AP75">
        <v>7</v>
      </c>
      <c r="AU75">
        <v>73</v>
      </c>
      <c r="AV75">
        <v>4</v>
      </c>
      <c r="AW75">
        <v>4</v>
      </c>
      <c r="AX75">
        <v>4</v>
      </c>
      <c r="AY75">
        <v>5</v>
      </c>
      <c r="AZ75">
        <v>6</v>
      </c>
      <c r="BC75">
        <v>73</v>
      </c>
      <c r="BD75">
        <v>9</v>
      </c>
      <c r="BE75">
        <v>9</v>
      </c>
      <c r="BF75">
        <v>9</v>
      </c>
      <c r="BG75">
        <v>9</v>
      </c>
      <c r="BH75">
        <v>11</v>
      </c>
      <c r="BK75" s="32">
        <v>73</v>
      </c>
      <c r="BL75">
        <v>5</v>
      </c>
      <c r="BM75">
        <v>1</v>
      </c>
    </row>
    <row r="76" spans="1:65" x14ac:dyDescent="0.45">
      <c r="A76" s="33"/>
      <c r="B76" s="32">
        <v>2</v>
      </c>
      <c r="C76" s="32">
        <v>74</v>
      </c>
      <c r="D76" s="32">
        <v>48</v>
      </c>
      <c r="E76" s="32">
        <v>48</v>
      </c>
      <c r="F76" s="32"/>
      <c r="G76" s="32"/>
      <c r="H76" s="32"/>
      <c r="I76" s="32"/>
      <c r="J76" s="32"/>
      <c r="K76" s="32"/>
      <c r="L76" s="32"/>
      <c r="M76" s="39"/>
      <c r="N76" s="43">
        <f t="shared" si="2"/>
        <v>2</v>
      </c>
      <c r="O76" s="33"/>
      <c r="P76" s="32">
        <v>2</v>
      </c>
      <c r="Q76" s="32">
        <v>74</v>
      </c>
      <c r="R76" s="32">
        <v>96</v>
      </c>
      <c r="S76" s="32"/>
      <c r="T76" s="32"/>
      <c r="U76" s="32"/>
      <c r="V76" s="32"/>
      <c r="W76" s="32"/>
      <c r="X76">
        <f t="shared" si="3"/>
        <v>1</v>
      </c>
      <c r="AC76">
        <v>74</v>
      </c>
      <c r="AD76">
        <v>240</v>
      </c>
      <c r="AF76">
        <v>240</v>
      </c>
      <c r="AI76">
        <v>74</v>
      </c>
      <c r="AJ76">
        <v>48</v>
      </c>
      <c r="AK76">
        <v>96</v>
      </c>
      <c r="AL76">
        <v>48</v>
      </c>
      <c r="AM76">
        <v>96</v>
      </c>
      <c r="AN76">
        <v>48</v>
      </c>
      <c r="AO76">
        <v>96</v>
      </c>
      <c r="AP76">
        <v>7</v>
      </c>
      <c r="AU76">
        <v>74</v>
      </c>
      <c r="AV76">
        <v>4</v>
      </c>
      <c r="AW76">
        <v>4</v>
      </c>
      <c r="AX76">
        <v>4</v>
      </c>
      <c r="AY76">
        <v>5</v>
      </c>
      <c r="AZ76">
        <v>6</v>
      </c>
      <c r="BC76">
        <v>74</v>
      </c>
      <c r="BD76">
        <v>9</v>
      </c>
      <c r="BE76">
        <v>9</v>
      </c>
      <c r="BF76">
        <v>9</v>
      </c>
      <c r="BG76">
        <v>9</v>
      </c>
      <c r="BH76">
        <v>11</v>
      </c>
      <c r="BK76" s="32">
        <v>74</v>
      </c>
      <c r="BL76">
        <v>5</v>
      </c>
      <c r="BM76">
        <v>1</v>
      </c>
    </row>
    <row r="77" spans="1:65" x14ac:dyDescent="0.45">
      <c r="A77" s="33"/>
      <c r="B77" s="32">
        <v>3</v>
      </c>
      <c r="C77" s="32">
        <v>75</v>
      </c>
      <c r="D77" s="32">
        <v>48</v>
      </c>
      <c r="E77" s="32">
        <v>48</v>
      </c>
      <c r="F77" s="32"/>
      <c r="G77" s="32"/>
      <c r="H77" s="32"/>
      <c r="I77" s="32"/>
      <c r="J77" s="32"/>
      <c r="K77" s="32"/>
      <c r="L77" s="32"/>
      <c r="M77" s="39"/>
      <c r="N77" s="43">
        <f t="shared" si="2"/>
        <v>2</v>
      </c>
      <c r="O77" s="33"/>
      <c r="P77" s="32">
        <v>3</v>
      </c>
      <c r="Q77" s="32">
        <v>75</v>
      </c>
      <c r="R77" s="32">
        <v>96</v>
      </c>
      <c r="S77" s="32"/>
      <c r="T77" s="32"/>
      <c r="U77" s="32"/>
      <c r="V77" s="32"/>
      <c r="W77" s="32"/>
      <c r="X77">
        <f t="shared" si="3"/>
        <v>1</v>
      </c>
      <c r="AC77">
        <v>75</v>
      </c>
      <c r="AD77">
        <v>240</v>
      </c>
      <c r="AF77">
        <v>240</v>
      </c>
      <c r="AI77">
        <v>75</v>
      </c>
      <c r="AJ77">
        <v>48</v>
      </c>
      <c r="AK77">
        <v>96</v>
      </c>
      <c r="AL77">
        <v>48</v>
      </c>
      <c r="AM77">
        <v>96</v>
      </c>
      <c r="AN77">
        <v>48</v>
      </c>
      <c r="AO77">
        <v>96</v>
      </c>
      <c r="AP77">
        <v>7</v>
      </c>
      <c r="AU77">
        <v>75</v>
      </c>
      <c r="AV77">
        <v>4</v>
      </c>
      <c r="AW77">
        <v>4</v>
      </c>
      <c r="AX77">
        <v>4</v>
      </c>
      <c r="AY77">
        <v>5</v>
      </c>
      <c r="AZ77">
        <v>6</v>
      </c>
      <c r="BC77">
        <v>75</v>
      </c>
      <c r="BD77">
        <v>9</v>
      </c>
      <c r="BE77">
        <v>9</v>
      </c>
      <c r="BF77">
        <v>9</v>
      </c>
      <c r="BG77">
        <v>9</v>
      </c>
      <c r="BH77">
        <v>11</v>
      </c>
      <c r="BK77" s="32">
        <v>75</v>
      </c>
      <c r="BL77">
        <v>5</v>
      </c>
      <c r="BM77">
        <v>1</v>
      </c>
    </row>
    <row r="78" spans="1:65" x14ac:dyDescent="0.45">
      <c r="A78" s="33"/>
      <c r="B78" s="32">
        <v>4</v>
      </c>
      <c r="C78" s="32">
        <v>76</v>
      </c>
      <c r="D78" s="32">
        <v>48</v>
      </c>
      <c r="E78" s="32">
        <v>48</v>
      </c>
      <c r="F78" s="32"/>
      <c r="G78" s="32"/>
      <c r="H78" s="32"/>
      <c r="I78" s="32"/>
      <c r="J78" s="32"/>
      <c r="K78" s="32"/>
      <c r="L78" s="32"/>
      <c r="M78" s="39"/>
      <c r="N78" s="43">
        <f t="shared" si="2"/>
        <v>2</v>
      </c>
      <c r="O78" s="33"/>
      <c r="P78" s="32">
        <v>4</v>
      </c>
      <c r="Q78" s="32">
        <v>76</v>
      </c>
      <c r="R78" s="32">
        <v>96</v>
      </c>
      <c r="S78" s="32"/>
      <c r="T78" s="32"/>
      <c r="U78" s="32"/>
      <c r="V78" s="32"/>
      <c r="W78" s="32"/>
      <c r="X78">
        <f t="shared" si="3"/>
        <v>1</v>
      </c>
      <c r="AC78">
        <v>76</v>
      </c>
      <c r="AD78">
        <v>269</v>
      </c>
      <c r="AF78">
        <v>360</v>
      </c>
      <c r="AI78">
        <v>76</v>
      </c>
      <c r="AJ78">
        <v>48</v>
      </c>
      <c r="AK78">
        <v>96</v>
      </c>
      <c r="AL78">
        <v>48</v>
      </c>
      <c r="AM78">
        <v>96</v>
      </c>
      <c r="AN78">
        <v>48</v>
      </c>
      <c r="AO78">
        <v>96</v>
      </c>
      <c r="AP78">
        <v>7</v>
      </c>
      <c r="AU78">
        <v>76</v>
      </c>
      <c r="AV78">
        <v>4</v>
      </c>
      <c r="AW78">
        <v>4</v>
      </c>
      <c r="AX78">
        <v>4</v>
      </c>
      <c r="AY78">
        <v>5</v>
      </c>
      <c r="AZ78">
        <v>6</v>
      </c>
      <c r="BC78">
        <v>76</v>
      </c>
      <c r="BD78">
        <v>9</v>
      </c>
      <c r="BE78">
        <v>9</v>
      </c>
      <c r="BF78">
        <v>9</v>
      </c>
      <c r="BG78">
        <v>9</v>
      </c>
      <c r="BH78">
        <v>11</v>
      </c>
      <c r="BK78" s="32">
        <v>76</v>
      </c>
      <c r="BL78">
        <v>5</v>
      </c>
      <c r="BM78">
        <v>1</v>
      </c>
    </row>
    <row r="79" spans="1:65" x14ac:dyDescent="0.45">
      <c r="A79" s="33"/>
      <c r="B79" s="32">
        <v>5</v>
      </c>
      <c r="C79" s="32">
        <v>77</v>
      </c>
      <c r="D79" s="32">
        <v>48</v>
      </c>
      <c r="E79" s="32">
        <v>48</v>
      </c>
      <c r="F79" s="32"/>
      <c r="G79" s="32"/>
      <c r="H79" s="32"/>
      <c r="I79" s="32"/>
      <c r="J79" s="32"/>
      <c r="K79" s="32"/>
      <c r="L79" s="32"/>
      <c r="M79" s="39"/>
      <c r="N79" s="43">
        <f t="shared" si="2"/>
        <v>2</v>
      </c>
      <c r="O79" s="33"/>
      <c r="P79" s="32">
        <v>5</v>
      </c>
      <c r="Q79" s="32">
        <v>77</v>
      </c>
      <c r="R79" s="32">
        <v>96</v>
      </c>
      <c r="S79" s="32"/>
      <c r="T79" s="32"/>
      <c r="U79" s="32"/>
      <c r="V79" s="32"/>
      <c r="W79" s="32"/>
      <c r="X79">
        <f t="shared" si="3"/>
        <v>1</v>
      </c>
      <c r="AC79">
        <v>77</v>
      </c>
      <c r="AD79">
        <v>269</v>
      </c>
      <c r="AF79">
        <v>360</v>
      </c>
      <c r="AI79">
        <v>77</v>
      </c>
      <c r="AJ79">
        <v>48</v>
      </c>
      <c r="AK79">
        <v>96</v>
      </c>
      <c r="AL79">
        <v>48</v>
      </c>
      <c r="AM79">
        <v>96</v>
      </c>
      <c r="AN79">
        <v>48</v>
      </c>
      <c r="AO79">
        <v>96</v>
      </c>
      <c r="AP79">
        <v>7</v>
      </c>
      <c r="AU79">
        <v>77</v>
      </c>
      <c r="AV79">
        <v>4</v>
      </c>
      <c r="AW79">
        <v>4</v>
      </c>
      <c r="AX79">
        <v>4</v>
      </c>
      <c r="AY79">
        <v>5</v>
      </c>
      <c r="AZ79">
        <v>6</v>
      </c>
      <c r="BC79">
        <v>77</v>
      </c>
      <c r="BD79">
        <v>9</v>
      </c>
      <c r="BE79">
        <v>9</v>
      </c>
      <c r="BF79">
        <v>9</v>
      </c>
      <c r="BG79">
        <v>9</v>
      </c>
      <c r="BH79">
        <v>11</v>
      </c>
      <c r="BK79" s="32">
        <v>77</v>
      </c>
      <c r="BL79">
        <v>5</v>
      </c>
      <c r="BM79">
        <v>1</v>
      </c>
    </row>
    <row r="80" spans="1:65" x14ac:dyDescent="0.45">
      <c r="A80" s="33"/>
      <c r="B80" s="32">
        <v>6</v>
      </c>
      <c r="C80" s="32">
        <v>78</v>
      </c>
      <c r="D80" s="32">
        <v>48</v>
      </c>
      <c r="E80" s="32">
        <v>48</v>
      </c>
      <c r="F80" s="32"/>
      <c r="G80" s="32"/>
      <c r="H80" s="32"/>
      <c r="I80" s="32"/>
      <c r="J80" s="32"/>
      <c r="K80" s="32"/>
      <c r="L80" s="32"/>
      <c r="M80" s="39"/>
      <c r="N80" s="43">
        <f t="shared" si="2"/>
        <v>2</v>
      </c>
      <c r="O80" s="33"/>
      <c r="P80" s="32">
        <v>6</v>
      </c>
      <c r="Q80" s="32">
        <v>78</v>
      </c>
      <c r="R80" s="32">
        <v>96</v>
      </c>
      <c r="S80" s="32"/>
      <c r="T80" s="32"/>
      <c r="U80" s="32"/>
      <c r="V80" s="32"/>
      <c r="W80" s="32"/>
      <c r="X80">
        <f t="shared" si="3"/>
        <v>1</v>
      </c>
      <c r="AC80">
        <v>78</v>
      </c>
      <c r="AD80">
        <v>269</v>
      </c>
      <c r="AF80">
        <v>360</v>
      </c>
      <c r="AI80">
        <v>78</v>
      </c>
      <c r="AJ80">
        <v>48</v>
      </c>
      <c r="AK80">
        <v>96</v>
      </c>
      <c r="AL80">
        <v>48</v>
      </c>
      <c r="AM80">
        <v>96</v>
      </c>
      <c r="AN80">
        <v>48</v>
      </c>
      <c r="AO80">
        <v>96</v>
      </c>
      <c r="AP80">
        <v>7</v>
      </c>
      <c r="AU80">
        <v>78</v>
      </c>
      <c r="AV80">
        <v>4</v>
      </c>
      <c r="AW80">
        <v>4</v>
      </c>
      <c r="AX80">
        <v>4</v>
      </c>
      <c r="AY80">
        <v>5</v>
      </c>
      <c r="AZ80">
        <v>6</v>
      </c>
      <c r="BC80">
        <v>78</v>
      </c>
      <c r="BD80">
        <v>9</v>
      </c>
      <c r="BE80">
        <v>9</v>
      </c>
      <c r="BF80">
        <v>9</v>
      </c>
      <c r="BG80">
        <v>9</v>
      </c>
      <c r="BH80">
        <v>11</v>
      </c>
      <c r="BK80" s="32">
        <v>78</v>
      </c>
      <c r="BL80">
        <v>5</v>
      </c>
      <c r="BM80">
        <v>1</v>
      </c>
    </row>
    <row r="81" spans="1:65" x14ac:dyDescent="0.45">
      <c r="A81" s="33"/>
      <c r="B81" s="32">
        <v>7</v>
      </c>
      <c r="C81" s="32">
        <v>79</v>
      </c>
      <c r="D81" s="32">
        <v>48</v>
      </c>
      <c r="E81" s="32">
        <v>48</v>
      </c>
      <c r="F81" s="32"/>
      <c r="G81" s="32"/>
      <c r="H81" s="32"/>
      <c r="I81" s="32"/>
      <c r="J81" s="32"/>
      <c r="K81" s="32"/>
      <c r="L81" s="32"/>
      <c r="M81" s="39"/>
      <c r="N81" s="43">
        <f t="shared" si="2"/>
        <v>2</v>
      </c>
      <c r="O81" s="33"/>
      <c r="P81" s="32">
        <v>7</v>
      </c>
      <c r="Q81" s="32">
        <v>79</v>
      </c>
      <c r="R81" s="32">
        <v>96</v>
      </c>
      <c r="S81" s="32"/>
      <c r="T81" s="32"/>
      <c r="U81" s="32"/>
      <c r="V81" s="32"/>
      <c r="W81" s="32"/>
      <c r="X81">
        <f t="shared" si="3"/>
        <v>1</v>
      </c>
      <c r="AC81">
        <v>79</v>
      </c>
      <c r="AD81">
        <v>269</v>
      </c>
      <c r="AF81">
        <v>360</v>
      </c>
      <c r="AI81">
        <v>79</v>
      </c>
      <c r="AJ81">
        <v>48</v>
      </c>
      <c r="AK81">
        <v>96</v>
      </c>
      <c r="AL81">
        <v>48</v>
      </c>
      <c r="AM81">
        <v>96</v>
      </c>
      <c r="AN81">
        <v>48</v>
      </c>
      <c r="AO81">
        <v>96</v>
      </c>
      <c r="AP81">
        <v>7</v>
      </c>
      <c r="AU81">
        <v>79</v>
      </c>
      <c r="AV81">
        <v>4</v>
      </c>
      <c r="AW81">
        <v>4</v>
      </c>
      <c r="AX81">
        <v>4</v>
      </c>
      <c r="AY81">
        <v>5</v>
      </c>
      <c r="AZ81">
        <v>6</v>
      </c>
      <c r="BC81">
        <v>79</v>
      </c>
      <c r="BD81">
        <v>9</v>
      </c>
      <c r="BE81">
        <v>9</v>
      </c>
      <c r="BF81">
        <v>9</v>
      </c>
      <c r="BG81">
        <v>9</v>
      </c>
      <c r="BH81">
        <v>11</v>
      </c>
      <c r="BK81" s="32">
        <v>79</v>
      </c>
      <c r="BL81">
        <v>5</v>
      </c>
      <c r="BM81">
        <v>1</v>
      </c>
    </row>
    <row r="82" spans="1:65" x14ac:dyDescent="0.45">
      <c r="A82" s="33"/>
      <c r="B82" s="32">
        <v>8</v>
      </c>
      <c r="C82" s="32">
        <v>80</v>
      </c>
      <c r="D82" s="32">
        <v>48</v>
      </c>
      <c r="E82" s="32">
        <v>48</v>
      </c>
      <c r="F82" s="32"/>
      <c r="G82" s="32"/>
      <c r="H82" s="32"/>
      <c r="I82" s="32"/>
      <c r="J82" s="32"/>
      <c r="K82" s="32"/>
      <c r="L82" s="32"/>
      <c r="M82" s="39"/>
      <c r="N82" s="43">
        <f t="shared" si="2"/>
        <v>2</v>
      </c>
      <c r="O82" s="33"/>
      <c r="P82" s="32">
        <v>8</v>
      </c>
      <c r="Q82" s="32">
        <v>80</v>
      </c>
      <c r="R82" s="32">
        <v>96</v>
      </c>
      <c r="S82" s="32"/>
      <c r="T82" s="32"/>
      <c r="U82" s="32"/>
      <c r="V82" s="32"/>
      <c r="W82" s="32"/>
      <c r="X82">
        <f t="shared" si="3"/>
        <v>1</v>
      </c>
      <c r="AC82">
        <v>80</v>
      </c>
      <c r="AD82">
        <v>269</v>
      </c>
      <c r="AF82">
        <v>360</v>
      </c>
      <c r="AI82">
        <v>80</v>
      </c>
      <c r="AJ82">
        <v>48</v>
      </c>
      <c r="AK82">
        <v>96</v>
      </c>
      <c r="AL82">
        <v>48</v>
      </c>
      <c r="AM82">
        <v>96</v>
      </c>
      <c r="AN82">
        <v>48</v>
      </c>
      <c r="AO82">
        <v>96</v>
      </c>
      <c r="AP82">
        <v>7</v>
      </c>
      <c r="AU82">
        <v>80</v>
      </c>
      <c r="AV82">
        <v>4</v>
      </c>
      <c r="AW82">
        <v>4</v>
      </c>
      <c r="AX82">
        <v>4</v>
      </c>
      <c r="AY82">
        <v>5</v>
      </c>
      <c r="AZ82">
        <v>6</v>
      </c>
      <c r="BC82">
        <v>80</v>
      </c>
      <c r="BD82">
        <v>9</v>
      </c>
      <c r="BE82">
        <v>9</v>
      </c>
      <c r="BF82">
        <v>9</v>
      </c>
      <c r="BG82">
        <v>9</v>
      </c>
      <c r="BH82">
        <v>11</v>
      </c>
      <c r="BK82" s="32">
        <v>80</v>
      </c>
      <c r="BL82">
        <v>5</v>
      </c>
      <c r="BM82">
        <v>1</v>
      </c>
    </row>
    <row r="83" spans="1:65" x14ac:dyDescent="0.45">
      <c r="A83" s="33"/>
      <c r="B83" s="32">
        <v>9</v>
      </c>
      <c r="C83" s="32">
        <v>81</v>
      </c>
      <c r="D83" s="32">
        <v>48</v>
      </c>
      <c r="E83" s="32">
        <v>48</v>
      </c>
      <c r="F83" s="32"/>
      <c r="G83" s="32"/>
      <c r="H83" s="32"/>
      <c r="I83" s="32"/>
      <c r="J83" s="32"/>
      <c r="K83" s="32"/>
      <c r="L83" s="32"/>
      <c r="M83" s="39"/>
      <c r="N83" s="43">
        <f t="shared" si="2"/>
        <v>2</v>
      </c>
      <c r="O83" s="33"/>
      <c r="P83" s="32">
        <v>9</v>
      </c>
      <c r="Q83" s="32">
        <v>81</v>
      </c>
      <c r="R83" s="32">
        <v>96</v>
      </c>
      <c r="S83" s="32"/>
      <c r="T83" s="32"/>
      <c r="U83" s="32"/>
      <c r="V83" s="32"/>
      <c r="W83" s="32"/>
      <c r="X83">
        <f t="shared" si="3"/>
        <v>1</v>
      </c>
      <c r="AC83">
        <v>81</v>
      </c>
      <c r="AD83">
        <v>269</v>
      </c>
      <c r="AF83">
        <v>360</v>
      </c>
      <c r="AI83">
        <v>81</v>
      </c>
      <c r="AJ83">
        <v>48</v>
      </c>
      <c r="AK83">
        <v>96</v>
      </c>
      <c r="AL83">
        <v>48</v>
      </c>
      <c r="AM83">
        <v>96</v>
      </c>
      <c r="AN83">
        <v>48</v>
      </c>
      <c r="AO83">
        <v>96</v>
      </c>
      <c r="AP83">
        <v>7</v>
      </c>
      <c r="AU83">
        <v>81</v>
      </c>
      <c r="AV83">
        <v>4</v>
      </c>
      <c r="AW83">
        <v>4</v>
      </c>
      <c r="AX83">
        <v>4</v>
      </c>
      <c r="AY83">
        <v>5</v>
      </c>
      <c r="AZ83">
        <v>6</v>
      </c>
      <c r="BC83">
        <v>81</v>
      </c>
      <c r="BD83">
        <v>9</v>
      </c>
      <c r="BE83">
        <v>9</v>
      </c>
      <c r="BF83">
        <v>9</v>
      </c>
      <c r="BG83">
        <v>9</v>
      </c>
      <c r="BH83">
        <v>11</v>
      </c>
      <c r="BK83" s="32">
        <v>81</v>
      </c>
      <c r="BL83">
        <v>5</v>
      </c>
      <c r="BM83">
        <v>1</v>
      </c>
    </row>
    <row r="84" spans="1:65" x14ac:dyDescent="0.45">
      <c r="A84" s="33"/>
      <c r="B84" s="32">
        <v>10</v>
      </c>
      <c r="C84" s="32">
        <v>82</v>
      </c>
      <c r="D84" s="32">
        <v>48</v>
      </c>
      <c r="E84" s="32">
        <v>48</v>
      </c>
      <c r="F84" s="32"/>
      <c r="G84" s="32"/>
      <c r="H84" s="32"/>
      <c r="I84" s="32"/>
      <c r="J84" s="32"/>
      <c r="K84" s="32"/>
      <c r="L84" s="32"/>
      <c r="M84" s="39"/>
      <c r="N84" s="43">
        <f t="shared" si="2"/>
        <v>2</v>
      </c>
      <c r="O84" s="33"/>
      <c r="P84" s="32">
        <v>10</v>
      </c>
      <c r="Q84" s="32">
        <v>82</v>
      </c>
      <c r="R84" s="32">
        <v>96</v>
      </c>
      <c r="S84" s="32"/>
      <c r="T84" s="32"/>
      <c r="U84" s="32"/>
      <c r="V84" s="32"/>
      <c r="W84" s="32"/>
      <c r="X84">
        <f t="shared" si="3"/>
        <v>1</v>
      </c>
      <c r="AC84">
        <v>82</v>
      </c>
      <c r="AD84">
        <v>269</v>
      </c>
      <c r="AF84">
        <v>360</v>
      </c>
      <c r="AI84">
        <v>82</v>
      </c>
      <c r="AJ84">
        <v>48</v>
      </c>
      <c r="AK84">
        <v>96</v>
      </c>
      <c r="AL84">
        <v>48</v>
      </c>
      <c r="AM84">
        <v>96</v>
      </c>
      <c r="AN84">
        <v>48</v>
      </c>
      <c r="AO84">
        <v>96</v>
      </c>
      <c r="AP84">
        <v>7</v>
      </c>
      <c r="AU84">
        <v>82</v>
      </c>
      <c r="AV84">
        <v>4</v>
      </c>
      <c r="AW84">
        <v>4</v>
      </c>
      <c r="AX84">
        <v>4</v>
      </c>
      <c r="AY84">
        <v>5</v>
      </c>
      <c r="AZ84">
        <v>6</v>
      </c>
      <c r="BC84">
        <v>82</v>
      </c>
      <c r="BD84">
        <v>9</v>
      </c>
      <c r="BE84">
        <v>9</v>
      </c>
      <c r="BF84">
        <v>9</v>
      </c>
      <c r="BG84">
        <v>9</v>
      </c>
      <c r="BH84">
        <v>11</v>
      </c>
      <c r="BK84" s="32">
        <v>82</v>
      </c>
      <c r="BL84">
        <v>5</v>
      </c>
      <c r="BM84">
        <v>1</v>
      </c>
    </row>
    <row r="85" spans="1:65" x14ac:dyDescent="0.45">
      <c r="A85" s="33"/>
      <c r="B85" s="32">
        <v>11</v>
      </c>
      <c r="C85" s="32">
        <v>83</v>
      </c>
      <c r="D85" s="32">
        <v>48</v>
      </c>
      <c r="E85" s="32">
        <v>48</v>
      </c>
      <c r="F85" s="32"/>
      <c r="G85" s="32"/>
      <c r="H85" s="32"/>
      <c r="I85" s="32"/>
      <c r="J85" s="32"/>
      <c r="K85" s="32"/>
      <c r="L85" s="32"/>
      <c r="M85" s="39"/>
      <c r="N85" s="43">
        <f t="shared" si="2"/>
        <v>2</v>
      </c>
      <c r="O85" s="33"/>
      <c r="P85" s="32">
        <v>11</v>
      </c>
      <c r="Q85" s="32">
        <v>83</v>
      </c>
      <c r="R85" s="32">
        <v>96</v>
      </c>
      <c r="S85" s="32"/>
      <c r="T85" s="32"/>
      <c r="U85" s="32"/>
      <c r="V85" s="32"/>
      <c r="W85" s="32"/>
      <c r="X85">
        <f t="shared" si="3"/>
        <v>1</v>
      </c>
      <c r="AC85">
        <v>83</v>
      </c>
      <c r="AD85">
        <v>269</v>
      </c>
      <c r="AF85">
        <v>360</v>
      </c>
      <c r="AI85">
        <v>83</v>
      </c>
      <c r="AJ85">
        <v>48</v>
      </c>
      <c r="AK85">
        <v>96</v>
      </c>
      <c r="AL85">
        <v>48</v>
      </c>
      <c r="AM85">
        <v>96</v>
      </c>
      <c r="AN85">
        <v>48</v>
      </c>
      <c r="AO85">
        <v>96</v>
      </c>
      <c r="AP85">
        <v>7</v>
      </c>
      <c r="AU85">
        <v>83</v>
      </c>
      <c r="AV85">
        <v>4</v>
      </c>
      <c r="AW85">
        <v>4</v>
      </c>
      <c r="AX85">
        <v>4</v>
      </c>
      <c r="AY85">
        <v>5</v>
      </c>
      <c r="AZ85">
        <v>6</v>
      </c>
      <c r="BC85">
        <v>83</v>
      </c>
      <c r="BD85">
        <v>9</v>
      </c>
      <c r="BE85">
        <v>9</v>
      </c>
      <c r="BF85">
        <v>9</v>
      </c>
      <c r="BG85">
        <v>9</v>
      </c>
      <c r="BH85">
        <v>11</v>
      </c>
      <c r="BK85" s="32">
        <v>83</v>
      </c>
      <c r="BL85">
        <v>5</v>
      </c>
      <c r="BM85">
        <v>1</v>
      </c>
    </row>
    <row r="86" spans="1:65" x14ac:dyDescent="0.45">
      <c r="A86" s="33">
        <v>7</v>
      </c>
      <c r="B86" s="32"/>
      <c r="C86" s="32">
        <v>84</v>
      </c>
      <c r="D86" s="32">
        <v>48</v>
      </c>
      <c r="E86" s="32">
        <v>48</v>
      </c>
      <c r="F86" s="32"/>
      <c r="G86" s="32"/>
      <c r="H86" s="32"/>
      <c r="I86" s="32"/>
      <c r="J86" s="32"/>
      <c r="K86" s="32"/>
      <c r="L86" s="32"/>
      <c r="M86" s="39"/>
      <c r="N86" s="43">
        <f t="shared" si="2"/>
        <v>2</v>
      </c>
      <c r="O86" s="33">
        <v>7</v>
      </c>
      <c r="P86" s="32"/>
      <c r="Q86" s="32">
        <v>84</v>
      </c>
      <c r="R86" s="32">
        <v>96</v>
      </c>
      <c r="S86" s="32"/>
      <c r="T86" s="32"/>
      <c r="U86" s="32"/>
      <c r="V86" s="32"/>
      <c r="W86" s="32"/>
      <c r="X86">
        <f t="shared" si="3"/>
        <v>1</v>
      </c>
      <c r="AC86">
        <v>84</v>
      </c>
      <c r="AD86">
        <v>269</v>
      </c>
      <c r="AF86">
        <v>360</v>
      </c>
      <c r="AI86">
        <v>84</v>
      </c>
      <c r="AJ86">
        <v>48</v>
      </c>
      <c r="AK86">
        <v>96</v>
      </c>
      <c r="AL86">
        <v>48</v>
      </c>
      <c r="AM86">
        <v>96</v>
      </c>
      <c r="AN86">
        <v>48</v>
      </c>
      <c r="AO86">
        <v>96</v>
      </c>
      <c r="AP86">
        <v>7</v>
      </c>
      <c r="AU86">
        <v>84</v>
      </c>
      <c r="AV86">
        <v>4</v>
      </c>
      <c r="AW86">
        <v>4</v>
      </c>
      <c r="AX86">
        <v>4</v>
      </c>
      <c r="AY86">
        <v>5</v>
      </c>
      <c r="AZ86">
        <v>6</v>
      </c>
      <c r="BC86">
        <v>84</v>
      </c>
      <c r="BD86">
        <v>9</v>
      </c>
      <c r="BE86">
        <v>9</v>
      </c>
      <c r="BF86">
        <v>9</v>
      </c>
      <c r="BG86">
        <v>9</v>
      </c>
      <c r="BH86">
        <v>11</v>
      </c>
      <c r="BK86" s="32">
        <v>84</v>
      </c>
      <c r="BL86">
        <v>5</v>
      </c>
      <c r="BM86">
        <v>1</v>
      </c>
    </row>
    <row r="87" spans="1:65" x14ac:dyDescent="0.45">
      <c r="A87" s="33"/>
      <c r="B87" s="32">
        <v>1</v>
      </c>
      <c r="C87" s="32">
        <v>85</v>
      </c>
      <c r="D87" s="32">
        <v>48</v>
      </c>
      <c r="E87" s="32">
        <v>48</v>
      </c>
      <c r="F87" s="32"/>
      <c r="G87" s="32"/>
      <c r="H87" s="32"/>
      <c r="I87" s="32"/>
      <c r="J87" s="32"/>
      <c r="K87" s="32"/>
      <c r="L87" s="32"/>
      <c r="M87" s="39"/>
      <c r="N87" s="43">
        <f t="shared" si="2"/>
        <v>2</v>
      </c>
      <c r="O87" s="33"/>
      <c r="P87" s="32">
        <v>1</v>
      </c>
      <c r="Q87" s="32">
        <v>85</v>
      </c>
      <c r="R87" s="32">
        <v>96</v>
      </c>
      <c r="S87" s="32"/>
      <c r="T87" s="32"/>
      <c r="U87" s="32"/>
      <c r="V87" s="32"/>
      <c r="W87" s="32"/>
      <c r="X87">
        <f t="shared" si="3"/>
        <v>1</v>
      </c>
      <c r="AC87">
        <v>85</v>
      </c>
      <c r="AD87">
        <v>287</v>
      </c>
      <c r="AF87">
        <v>360</v>
      </c>
      <c r="AI87">
        <v>85</v>
      </c>
      <c r="AJ87">
        <v>48</v>
      </c>
      <c r="AK87">
        <v>96</v>
      </c>
      <c r="AL87">
        <v>48</v>
      </c>
      <c r="AM87">
        <v>96</v>
      </c>
      <c r="AN87">
        <v>48</v>
      </c>
      <c r="AO87">
        <v>96</v>
      </c>
      <c r="AP87">
        <v>8</v>
      </c>
      <c r="AU87">
        <v>85</v>
      </c>
      <c r="AV87">
        <v>4</v>
      </c>
      <c r="AW87">
        <v>4</v>
      </c>
      <c r="AX87">
        <v>4</v>
      </c>
      <c r="AY87">
        <v>5</v>
      </c>
      <c r="AZ87">
        <v>6</v>
      </c>
      <c r="BC87">
        <v>85</v>
      </c>
      <c r="BD87">
        <v>9</v>
      </c>
      <c r="BE87">
        <v>9</v>
      </c>
      <c r="BF87">
        <v>9</v>
      </c>
      <c r="BG87">
        <v>9</v>
      </c>
      <c r="BH87">
        <v>11</v>
      </c>
      <c r="BK87" s="32">
        <v>85</v>
      </c>
      <c r="BL87">
        <v>5</v>
      </c>
      <c r="BM87">
        <v>1</v>
      </c>
    </row>
    <row r="88" spans="1:65" x14ac:dyDescent="0.45">
      <c r="A88" s="33"/>
      <c r="B88" s="32">
        <v>2</v>
      </c>
      <c r="C88" s="32">
        <v>86</v>
      </c>
      <c r="D88" s="32">
        <v>48</v>
      </c>
      <c r="E88" s="32">
        <v>48</v>
      </c>
      <c r="F88" s="32"/>
      <c r="G88" s="32"/>
      <c r="H88" s="32"/>
      <c r="I88" s="32"/>
      <c r="J88" s="32"/>
      <c r="K88" s="32"/>
      <c r="L88" s="32"/>
      <c r="M88" s="39"/>
      <c r="N88" s="43">
        <f t="shared" si="2"/>
        <v>2</v>
      </c>
      <c r="O88" s="33"/>
      <c r="P88" s="32">
        <v>2</v>
      </c>
      <c r="Q88" s="32">
        <v>86</v>
      </c>
      <c r="R88" s="32">
        <v>96</v>
      </c>
      <c r="S88" s="32"/>
      <c r="T88" s="32"/>
      <c r="U88" s="32"/>
      <c r="V88" s="32"/>
      <c r="W88" s="32"/>
      <c r="X88">
        <f t="shared" si="3"/>
        <v>1</v>
      </c>
      <c r="AC88">
        <v>86</v>
      </c>
      <c r="AD88">
        <v>287</v>
      </c>
      <c r="AF88">
        <v>360</v>
      </c>
      <c r="AI88">
        <v>86</v>
      </c>
      <c r="AJ88">
        <v>48</v>
      </c>
      <c r="AK88">
        <v>96</v>
      </c>
      <c r="AL88">
        <v>48</v>
      </c>
      <c r="AM88">
        <v>96</v>
      </c>
      <c r="AN88">
        <v>48</v>
      </c>
      <c r="AO88">
        <v>96</v>
      </c>
      <c r="AP88">
        <v>8</v>
      </c>
      <c r="AU88">
        <v>86</v>
      </c>
      <c r="AV88">
        <v>4</v>
      </c>
      <c r="AW88">
        <v>4</v>
      </c>
      <c r="AX88">
        <v>4</v>
      </c>
      <c r="AY88">
        <v>5</v>
      </c>
      <c r="AZ88">
        <v>6</v>
      </c>
      <c r="BC88">
        <v>86</v>
      </c>
      <c r="BD88">
        <v>9</v>
      </c>
      <c r="BE88">
        <v>9</v>
      </c>
      <c r="BF88">
        <v>9</v>
      </c>
      <c r="BG88">
        <v>9</v>
      </c>
      <c r="BH88">
        <v>11</v>
      </c>
      <c r="BK88" s="32">
        <v>86</v>
      </c>
      <c r="BL88">
        <v>5</v>
      </c>
      <c r="BM88">
        <v>1</v>
      </c>
    </row>
    <row r="89" spans="1:65" x14ac:dyDescent="0.45">
      <c r="A89" s="33"/>
      <c r="B89" s="32">
        <v>3</v>
      </c>
      <c r="C89" s="32">
        <v>87</v>
      </c>
      <c r="D89" s="32">
        <v>48</v>
      </c>
      <c r="E89" s="32">
        <v>48</v>
      </c>
      <c r="F89" s="32"/>
      <c r="G89" s="32"/>
      <c r="H89" s="32"/>
      <c r="I89" s="32"/>
      <c r="J89" s="32"/>
      <c r="K89" s="32"/>
      <c r="L89" s="32"/>
      <c r="M89" s="39"/>
      <c r="N89" s="43">
        <f t="shared" si="2"/>
        <v>2</v>
      </c>
      <c r="O89" s="33"/>
      <c r="P89" s="32">
        <v>3</v>
      </c>
      <c r="Q89" s="32">
        <v>87</v>
      </c>
      <c r="R89" s="32">
        <v>96</v>
      </c>
      <c r="S89" s="32"/>
      <c r="T89" s="32"/>
      <c r="U89" s="32"/>
      <c r="V89" s="32"/>
      <c r="W89" s="32"/>
      <c r="X89">
        <f t="shared" si="3"/>
        <v>1</v>
      </c>
      <c r="AC89">
        <v>87</v>
      </c>
      <c r="AD89">
        <v>287</v>
      </c>
      <c r="AF89">
        <v>360</v>
      </c>
      <c r="AI89">
        <v>87</v>
      </c>
      <c r="AJ89">
        <v>48</v>
      </c>
      <c r="AK89">
        <v>96</v>
      </c>
      <c r="AL89">
        <v>48</v>
      </c>
      <c r="AM89">
        <v>96</v>
      </c>
      <c r="AN89">
        <v>48</v>
      </c>
      <c r="AO89">
        <v>96</v>
      </c>
      <c r="AP89">
        <v>8</v>
      </c>
      <c r="AU89">
        <v>87</v>
      </c>
      <c r="AV89">
        <v>4</v>
      </c>
      <c r="AW89">
        <v>4</v>
      </c>
      <c r="AX89">
        <v>4</v>
      </c>
      <c r="AY89">
        <v>5</v>
      </c>
      <c r="AZ89">
        <v>6</v>
      </c>
      <c r="BC89">
        <v>87</v>
      </c>
      <c r="BD89">
        <v>9</v>
      </c>
      <c r="BE89">
        <v>9</v>
      </c>
      <c r="BF89">
        <v>9</v>
      </c>
      <c r="BG89">
        <v>9</v>
      </c>
      <c r="BH89">
        <v>11</v>
      </c>
      <c r="BK89" s="32">
        <v>87</v>
      </c>
      <c r="BL89">
        <v>5</v>
      </c>
      <c r="BM89">
        <v>1</v>
      </c>
    </row>
    <row r="90" spans="1:65" x14ac:dyDescent="0.45">
      <c r="A90" s="33"/>
      <c r="B90" s="32">
        <v>4</v>
      </c>
      <c r="C90" s="32">
        <v>88</v>
      </c>
      <c r="D90" s="32">
        <v>48</v>
      </c>
      <c r="E90" s="32">
        <v>48</v>
      </c>
      <c r="F90" s="32"/>
      <c r="G90" s="32"/>
      <c r="H90" s="32"/>
      <c r="I90" s="32"/>
      <c r="J90" s="32"/>
      <c r="K90" s="32"/>
      <c r="L90" s="32"/>
      <c r="M90" s="39"/>
      <c r="N90" s="43">
        <f t="shared" si="2"/>
        <v>2</v>
      </c>
      <c r="O90" s="33"/>
      <c r="P90" s="32">
        <v>4</v>
      </c>
      <c r="Q90" s="32">
        <v>88</v>
      </c>
      <c r="R90" s="32">
        <v>96</v>
      </c>
      <c r="S90" s="32"/>
      <c r="T90" s="32"/>
      <c r="U90" s="32"/>
      <c r="V90" s="32"/>
      <c r="W90" s="32"/>
      <c r="X90">
        <f t="shared" si="3"/>
        <v>1</v>
      </c>
      <c r="AC90">
        <v>88</v>
      </c>
      <c r="AD90">
        <v>287</v>
      </c>
      <c r="AF90">
        <v>360</v>
      </c>
      <c r="AI90">
        <v>88</v>
      </c>
      <c r="AJ90">
        <v>48</v>
      </c>
      <c r="AK90">
        <v>96</v>
      </c>
      <c r="AL90">
        <v>48</v>
      </c>
      <c r="AM90">
        <v>96</v>
      </c>
      <c r="AN90">
        <v>48</v>
      </c>
      <c r="AO90">
        <v>96</v>
      </c>
      <c r="AP90">
        <v>8</v>
      </c>
      <c r="AU90">
        <v>88</v>
      </c>
      <c r="AV90">
        <v>4</v>
      </c>
      <c r="AW90">
        <v>4</v>
      </c>
      <c r="AX90">
        <v>4</v>
      </c>
      <c r="AY90">
        <v>5</v>
      </c>
      <c r="AZ90">
        <v>6</v>
      </c>
      <c r="BC90">
        <v>88</v>
      </c>
      <c r="BD90">
        <v>9</v>
      </c>
      <c r="BE90">
        <v>9</v>
      </c>
      <c r="BF90">
        <v>9</v>
      </c>
      <c r="BG90">
        <v>9</v>
      </c>
      <c r="BH90">
        <v>11</v>
      </c>
      <c r="BK90" s="32">
        <v>88</v>
      </c>
      <c r="BL90">
        <v>5</v>
      </c>
      <c r="BM90">
        <v>1</v>
      </c>
    </row>
    <row r="91" spans="1:65" x14ac:dyDescent="0.45">
      <c r="A91" s="33"/>
      <c r="B91" s="32">
        <v>5</v>
      </c>
      <c r="C91" s="32">
        <v>89</v>
      </c>
      <c r="D91" s="32">
        <v>48</v>
      </c>
      <c r="E91" s="32">
        <v>48</v>
      </c>
      <c r="F91" s="32"/>
      <c r="G91" s="32"/>
      <c r="H91" s="32"/>
      <c r="I91" s="32"/>
      <c r="J91" s="32"/>
      <c r="K91" s="32"/>
      <c r="L91" s="32"/>
      <c r="M91" s="39"/>
      <c r="N91" s="43">
        <f t="shared" si="2"/>
        <v>2</v>
      </c>
      <c r="O91" s="33"/>
      <c r="P91" s="32">
        <v>5</v>
      </c>
      <c r="Q91" s="32">
        <v>89</v>
      </c>
      <c r="R91" s="32">
        <v>96</v>
      </c>
      <c r="S91" s="32"/>
      <c r="T91" s="32"/>
      <c r="U91" s="32"/>
      <c r="V91" s="32"/>
      <c r="W91" s="32"/>
      <c r="X91">
        <f t="shared" si="3"/>
        <v>1</v>
      </c>
      <c r="AC91">
        <v>89</v>
      </c>
      <c r="AD91">
        <v>287</v>
      </c>
      <c r="AF91">
        <v>360</v>
      </c>
      <c r="AI91">
        <v>89</v>
      </c>
      <c r="AJ91">
        <v>48</v>
      </c>
      <c r="AK91">
        <v>96</v>
      </c>
      <c r="AL91">
        <v>48</v>
      </c>
      <c r="AM91">
        <v>96</v>
      </c>
      <c r="AN91">
        <v>48</v>
      </c>
      <c r="AO91">
        <v>96</v>
      </c>
      <c r="AP91">
        <v>8</v>
      </c>
      <c r="AU91">
        <v>89</v>
      </c>
      <c r="AV91">
        <v>4</v>
      </c>
      <c r="AW91">
        <v>4</v>
      </c>
      <c r="AX91">
        <v>4</v>
      </c>
      <c r="AY91">
        <v>5</v>
      </c>
      <c r="AZ91">
        <v>6</v>
      </c>
      <c r="BC91">
        <v>89</v>
      </c>
      <c r="BD91">
        <v>9</v>
      </c>
      <c r="BE91">
        <v>9</v>
      </c>
      <c r="BF91">
        <v>9</v>
      </c>
      <c r="BG91">
        <v>9</v>
      </c>
      <c r="BH91">
        <v>11</v>
      </c>
      <c r="BK91" s="32">
        <v>89</v>
      </c>
      <c r="BL91">
        <v>5</v>
      </c>
      <c r="BM91">
        <v>1</v>
      </c>
    </row>
    <row r="92" spans="1:65" x14ac:dyDescent="0.45">
      <c r="A92" s="33"/>
      <c r="B92" s="32">
        <v>6</v>
      </c>
      <c r="C92" s="32">
        <v>90</v>
      </c>
      <c r="D92" s="32">
        <v>48</v>
      </c>
      <c r="E92" s="32">
        <v>48</v>
      </c>
      <c r="F92" s="32"/>
      <c r="G92" s="32"/>
      <c r="H92" s="32"/>
      <c r="I92" s="32"/>
      <c r="J92" s="32"/>
      <c r="K92" s="32"/>
      <c r="L92" s="32"/>
      <c r="M92" s="39"/>
      <c r="N92" s="43">
        <f t="shared" si="2"/>
        <v>2</v>
      </c>
      <c r="O92" s="33"/>
      <c r="P92" s="32">
        <v>6</v>
      </c>
      <c r="Q92" s="32">
        <v>90</v>
      </c>
      <c r="R92" s="32">
        <v>96</v>
      </c>
      <c r="S92" s="32"/>
      <c r="T92" s="32"/>
      <c r="U92" s="32"/>
      <c r="V92" s="32"/>
      <c r="W92" s="32"/>
      <c r="X92">
        <f t="shared" si="3"/>
        <v>1</v>
      </c>
      <c r="AC92">
        <v>90</v>
      </c>
      <c r="AD92">
        <v>287</v>
      </c>
      <c r="AF92">
        <v>360</v>
      </c>
      <c r="AI92">
        <v>90</v>
      </c>
      <c r="AJ92">
        <v>48</v>
      </c>
      <c r="AK92">
        <v>96</v>
      </c>
      <c r="AL92">
        <v>48</v>
      </c>
      <c r="AM92">
        <v>96</v>
      </c>
      <c r="AN92">
        <v>48</v>
      </c>
      <c r="AO92">
        <v>96</v>
      </c>
      <c r="AP92">
        <v>8</v>
      </c>
      <c r="AU92">
        <v>90</v>
      </c>
      <c r="AV92">
        <v>4</v>
      </c>
      <c r="AW92">
        <v>4</v>
      </c>
      <c r="AX92">
        <v>4</v>
      </c>
      <c r="AY92">
        <v>5</v>
      </c>
      <c r="AZ92">
        <v>6</v>
      </c>
      <c r="BC92">
        <v>90</v>
      </c>
      <c r="BD92">
        <v>9</v>
      </c>
      <c r="BE92">
        <v>9</v>
      </c>
      <c r="BF92">
        <v>9</v>
      </c>
      <c r="BG92">
        <v>9</v>
      </c>
      <c r="BH92">
        <v>11</v>
      </c>
      <c r="BK92" s="32">
        <v>90</v>
      </c>
      <c r="BL92">
        <v>5</v>
      </c>
      <c r="BM92">
        <v>1</v>
      </c>
    </row>
    <row r="93" spans="1:65" x14ac:dyDescent="0.45">
      <c r="A93" s="33"/>
      <c r="B93" s="32">
        <v>7</v>
      </c>
      <c r="C93" s="32">
        <v>91</v>
      </c>
      <c r="D93" s="32">
        <v>48</v>
      </c>
      <c r="E93" s="32">
        <v>48</v>
      </c>
      <c r="F93" s="32"/>
      <c r="G93" s="32"/>
      <c r="H93" s="32"/>
      <c r="I93" s="32"/>
      <c r="J93" s="32"/>
      <c r="K93" s="32"/>
      <c r="L93" s="32"/>
      <c r="M93" s="39"/>
      <c r="N93" s="43">
        <f t="shared" si="2"/>
        <v>2</v>
      </c>
      <c r="O93" s="33"/>
      <c r="P93" s="32">
        <v>7</v>
      </c>
      <c r="Q93" s="32">
        <v>91</v>
      </c>
      <c r="R93" s="32">
        <v>96</v>
      </c>
      <c r="S93" s="32"/>
      <c r="T93" s="32"/>
      <c r="U93" s="32"/>
      <c r="V93" s="32"/>
      <c r="W93" s="32"/>
      <c r="X93">
        <f t="shared" si="3"/>
        <v>1</v>
      </c>
      <c r="AC93">
        <v>91</v>
      </c>
      <c r="AD93">
        <v>306</v>
      </c>
      <c r="AF93">
        <v>360</v>
      </c>
      <c r="AI93">
        <v>91</v>
      </c>
      <c r="AJ93">
        <v>48</v>
      </c>
      <c r="AK93">
        <v>96</v>
      </c>
      <c r="AL93">
        <v>48</v>
      </c>
      <c r="AM93">
        <v>96</v>
      </c>
      <c r="AN93">
        <v>48</v>
      </c>
      <c r="AO93">
        <v>96</v>
      </c>
      <c r="AP93">
        <v>8</v>
      </c>
      <c r="AU93">
        <v>91</v>
      </c>
      <c r="AV93">
        <v>4</v>
      </c>
      <c r="AW93">
        <v>4</v>
      </c>
      <c r="AX93">
        <v>4</v>
      </c>
      <c r="AY93">
        <v>5</v>
      </c>
      <c r="AZ93">
        <v>6</v>
      </c>
      <c r="BC93">
        <v>91</v>
      </c>
      <c r="BD93">
        <v>9</v>
      </c>
      <c r="BE93">
        <v>9</v>
      </c>
      <c r="BF93">
        <v>9</v>
      </c>
      <c r="BG93">
        <v>9</v>
      </c>
      <c r="BH93">
        <v>11</v>
      </c>
      <c r="BK93" s="32">
        <v>91</v>
      </c>
      <c r="BL93">
        <v>5</v>
      </c>
      <c r="BM93">
        <v>1</v>
      </c>
    </row>
    <row r="94" spans="1:65" x14ac:dyDescent="0.45">
      <c r="A94" s="33"/>
      <c r="B94" s="32">
        <v>8</v>
      </c>
      <c r="C94" s="32">
        <v>92</v>
      </c>
      <c r="D94" s="32">
        <v>48</v>
      </c>
      <c r="E94" s="32">
        <v>48</v>
      </c>
      <c r="F94" s="32"/>
      <c r="G94" s="32"/>
      <c r="H94" s="32"/>
      <c r="I94" s="32"/>
      <c r="J94" s="32"/>
      <c r="K94" s="32"/>
      <c r="L94" s="32"/>
      <c r="M94" s="39"/>
      <c r="N94" s="43">
        <f t="shared" si="2"/>
        <v>2</v>
      </c>
      <c r="O94" s="33"/>
      <c r="P94" s="32">
        <v>8</v>
      </c>
      <c r="Q94" s="32">
        <v>92</v>
      </c>
      <c r="R94" s="32">
        <v>96</v>
      </c>
      <c r="S94" s="32"/>
      <c r="T94" s="32"/>
      <c r="U94" s="32"/>
      <c r="V94" s="32"/>
      <c r="W94" s="32"/>
      <c r="X94">
        <f t="shared" si="3"/>
        <v>1</v>
      </c>
      <c r="AC94">
        <v>92</v>
      </c>
      <c r="AD94">
        <v>306</v>
      </c>
      <c r="AF94">
        <v>360</v>
      </c>
      <c r="AI94">
        <v>92</v>
      </c>
      <c r="AJ94">
        <v>48</v>
      </c>
      <c r="AK94">
        <v>96</v>
      </c>
      <c r="AL94">
        <v>48</v>
      </c>
      <c r="AM94">
        <v>96</v>
      </c>
      <c r="AN94">
        <v>48</v>
      </c>
      <c r="AO94">
        <v>96</v>
      </c>
      <c r="AP94">
        <v>8</v>
      </c>
      <c r="AU94">
        <v>92</v>
      </c>
      <c r="AV94">
        <v>4</v>
      </c>
      <c r="AW94">
        <v>4</v>
      </c>
      <c r="AX94">
        <v>4</v>
      </c>
      <c r="AY94">
        <v>5</v>
      </c>
      <c r="AZ94">
        <v>6</v>
      </c>
      <c r="BC94">
        <v>92</v>
      </c>
      <c r="BD94">
        <v>9</v>
      </c>
      <c r="BE94">
        <v>9</v>
      </c>
      <c r="BF94">
        <v>9</v>
      </c>
      <c r="BG94">
        <v>9</v>
      </c>
      <c r="BH94">
        <v>11</v>
      </c>
      <c r="BK94" s="32">
        <v>92</v>
      </c>
      <c r="BL94">
        <v>5</v>
      </c>
      <c r="BM94">
        <v>1</v>
      </c>
    </row>
    <row r="95" spans="1:65" x14ac:dyDescent="0.45">
      <c r="A95" s="33"/>
      <c r="B95" s="32">
        <v>9</v>
      </c>
      <c r="C95" s="32">
        <v>93</v>
      </c>
      <c r="D95" s="32">
        <v>48</v>
      </c>
      <c r="E95" s="32">
        <v>48</v>
      </c>
      <c r="F95" s="32"/>
      <c r="G95" s="32"/>
      <c r="H95" s="32"/>
      <c r="I95" s="32"/>
      <c r="J95" s="32"/>
      <c r="K95" s="32"/>
      <c r="L95" s="32"/>
      <c r="M95" s="39"/>
      <c r="N95" s="43">
        <f t="shared" si="2"/>
        <v>2</v>
      </c>
      <c r="O95" s="33"/>
      <c r="P95" s="32">
        <v>9</v>
      </c>
      <c r="Q95" s="32">
        <v>93</v>
      </c>
      <c r="R95" s="32">
        <v>96</v>
      </c>
      <c r="S95" s="32"/>
      <c r="T95" s="32"/>
      <c r="U95" s="32"/>
      <c r="V95" s="32"/>
      <c r="W95" s="32"/>
      <c r="X95">
        <f t="shared" si="3"/>
        <v>1</v>
      </c>
      <c r="AC95">
        <v>93</v>
      </c>
      <c r="AD95">
        <v>306</v>
      </c>
      <c r="AF95">
        <v>360</v>
      </c>
      <c r="AI95">
        <v>93</v>
      </c>
      <c r="AJ95">
        <v>48</v>
      </c>
      <c r="AK95">
        <v>96</v>
      </c>
      <c r="AL95">
        <v>48</v>
      </c>
      <c r="AM95">
        <v>96</v>
      </c>
      <c r="AN95">
        <v>48</v>
      </c>
      <c r="AO95">
        <v>96</v>
      </c>
      <c r="AP95">
        <v>8</v>
      </c>
      <c r="AU95">
        <v>93</v>
      </c>
      <c r="AV95">
        <v>4</v>
      </c>
      <c r="AW95">
        <v>4</v>
      </c>
      <c r="AX95">
        <v>4</v>
      </c>
      <c r="AY95">
        <v>5</v>
      </c>
      <c r="AZ95">
        <v>6</v>
      </c>
      <c r="BC95">
        <v>93</v>
      </c>
      <c r="BD95">
        <v>9</v>
      </c>
      <c r="BE95">
        <v>9</v>
      </c>
      <c r="BF95">
        <v>9</v>
      </c>
      <c r="BG95">
        <v>9</v>
      </c>
      <c r="BH95">
        <v>11</v>
      </c>
      <c r="BK95" s="32">
        <v>93</v>
      </c>
      <c r="BL95">
        <v>5</v>
      </c>
      <c r="BM95">
        <v>1</v>
      </c>
    </row>
    <row r="96" spans="1:65" x14ac:dyDescent="0.45">
      <c r="A96" s="33"/>
      <c r="B96" s="32">
        <v>10</v>
      </c>
      <c r="C96" s="32">
        <v>94</v>
      </c>
      <c r="D96" s="32">
        <v>48</v>
      </c>
      <c r="E96" s="32">
        <v>48</v>
      </c>
      <c r="F96" s="32"/>
      <c r="G96" s="32"/>
      <c r="H96" s="32"/>
      <c r="I96" s="32"/>
      <c r="J96" s="32"/>
      <c r="K96" s="32"/>
      <c r="L96" s="32"/>
      <c r="M96" s="39"/>
      <c r="N96" s="43">
        <f t="shared" si="2"/>
        <v>2</v>
      </c>
      <c r="O96" s="33"/>
      <c r="P96" s="32">
        <v>10</v>
      </c>
      <c r="Q96" s="32">
        <v>94</v>
      </c>
      <c r="R96" s="32">
        <v>96</v>
      </c>
      <c r="S96" s="32"/>
      <c r="T96" s="32"/>
      <c r="U96" s="32"/>
      <c r="V96" s="32"/>
      <c r="W96" s="32"/>
      <c r="X96">
        <f t="shared" si="3"/>
        <v>1</v>
      </c>
      <c r="AC96">
        <v>94</v>
      </c>
      <c r="AD96">
        <v>306</v>
      </c>
      <c r="AF96">
        <v>360</v>
      </c>
      <c r="AI96">
        <v>94</v>
      </c>
      <c r="AJ96">
        <v>48</v>
      </c>
      <c r="AK96">
        <v>96</v>
      </c>
      <c r="AL96">
        <v>48</v>
      </c>
      <c r="AM96">
        <v>96</v>
      </c>
      <c r="AN96">
        <v>48</v>
      </c>
      <c r="AO96">
        <v>96</v>
      </c>
      <c r="AP96">
        <v>8</v>
      </c>
      <c r="AU96">
        <v>94</v>
      </c>
      <c r="AV96">
        <v>4</v>
      </c>
      <c r="AW96">
        <v>4</v>
      </c>
      <c r="AX96">
        <v>4</v>
      </c>
      <c r="AY96">
        <v>5</v>
      </c>
      <c r="AZ96">
        <v>6</v>
      </c>
      <c r="BC96">
        <v>94</v>
      </c>
      <c r="BD96">
        <v>9</v>
      </c>
      <c r="BE96">
        <v>9</v>
      </c>
      <c r="BF96">
        <v>9</v>
      </c>
      <c r="BG96">
        <v>9</v>
      </c>
      <c r="BH96">
        <v>11</v>
      </c>
      <c r="BK96" s="32">
        <v>94</v>
      </c>
      <c r="BL96">
        <v>5</v>
      </c>
      <c r="BM96">
        <v>1</v>
      </c>
    </row>
    <row r="97" spans="1:65" x14ac:dyDescent="0.45">
      <c r="A97" s="33"/>
      <c r="B97" s="32">
        <v>11</v>
      </c>
      <c r="C97" s="32">
        <v>95</v>
      </c>
      <c r="D97" s="32">
        <v>48</v>
      </c>
      <c r="E97" s="32">
        <v>48</v>
      </c>
      <c r="F97" s="32"/>
      <c r="G97" s="32"/>
      <c r="H97" s="32"/>
      <c r="I97" s="32"/>
      <c r="J97" s="32"/>
      <c r="K97" s="32"/>
      <c r="L97" s="32"/>
      <c r="M97" s="39"/>
      <c r="N97" s="43">
        <f t="shared" si="2"/>
        <v>2</v>
      </c>
      <c r="O97" s="33"/>
      <c r="P97" s="32">
        <v>11</v>
      </c>
      <c r="Q97" s="32">
        <v>95</v>
      </c>
      <c r="R97" s="32">
        <v>96</v>
      </c>
      <c r="S97" s="32"/>
      <c r="T97" s="32"/>
      <c r="U97" s="32"/>
      <c r="V97" s="32"/>
      <c r="W97" s="32"/>
      <c r="X97">
        <f t="shared" si="3"/>
        <v>1</v>
      </c>
      <c r="AC97">
        <v>95</v>
      </c>
      <c r="AD97">
        <v>306</v>
      </c>
      <c r="AF97">
        <v>360</v>
      </c>
      <c r="AI97">
        <v>95</v>
      </c>
      <c r="AJ97">
        <v>48</v>
      </c>
      <c r="AK97">
        <v>96</v>
      </c>
      <c r="AL97">
        <v>48</v>
      </c>
      <c r="AM97">
        <v>96</v>
      </c>
      <c r="AN97">
        <v>48</v>
      </c>
      <c r="AO97">
        <v>96</v>
      </c>
      <c r="AP97">
        <v>8</v>
      </c>
      <c r="AU97">
        <v>95</v>
      </c>
      <c r="AV97">
        <v>4</v>
      </c>
      <c r="AW97">
        <v>4</v>
      </c>
      <c r="AX97">
        <v>4</v>
      </c>
      <c r="AY97">
        <v>5</v>
      </c>
      <c r="AZ97">
        <v>6</v>
      </c>
      <c r="BC97">
        <v>95</v>
      </c>
      <c r="BD97">
        <v>9</v>
      </c>
      <c r="BE97">
        <v>9</v>
      </c>
      <c r="BF97">
        <v>9</v>
      </c>
      <c r="BG97">
        <v>9</v>
      </c>
      <c r="BH97">
        <v>11</v>
      </c>
      <c r="BK97" s="32">
        <v>95</v>
      </c>
      <c r="BL97">
        <v>5</v>
      </c>
      <c r="BM97">
        <v>1</v>
      </c>
    </row>
    <row r="98" spans="1:65" x14ac:dyDescent="0.45">
      <c r="A98" s="33">
        <v>8</v>
      </c>
      <c r="B98" s="32"/>
      <c r="C98" s="32">
        <v>96</v>
      </c>
      <c r="D98" s="32">
        <v>48</v>
      </c>
      <c r="E98" s="32">
        <v>48</v>
      </c>
      <c r="F98" s="32"/>
      <c r="G98" s="32"/>
      <c r="H98" s="32"/>
      <c r="I98" s="32"/>
      <c r="J98" s="32"/>
      <c r="K98" s="32"/>
      <c r="L98" s="32"/>
      <c r="M98" s="39"/>
      <c r="N98" s="43">
        <f t="shared" si="2"/>
        <v>2</v>
      </c>
      <c r="O98" s="33">
        <v>8</v>
      </c>
      <c r="P98" s="32"/>
      <c r="Q98" s="32">
        <v>96</v>
      </c>
      <c r="R98" s="32">
        <v>96</v>
      </c>
      <c r="S98" s="32"/>
      <c r="T98" s="32"/>
      <c r="U98" s="32"/>
      <c r="V98" s="32"/>
      <c r="W98" s="32"/>
      <c r="X98">
        <f t="shared" si="3"/>
        <v>1</v>
      </c>
      <c r="AC98">
        <v>96</v>
      </c>
      <c r="AD98">
        <v>306</v>
      </c>
      <c r="AF98">
        <v>360</v>
      </c>
      <c r="AI98">
        <v>96</v>
      </c>
      <c r="AJ98">
        <v>48</v>
      </c>
      <c r="AK98">
        <v>96</v>
      </c>
      <c r="AL98">
        <v>48</v>
      </c>
      <c r="AM98">
        <v>96</v>
      </c>
      <c r="AN98">
        <v>48</v>
      </c>
      <c r="AO98">
        <v>96</v>
      </c>
      <c r="AP98">
        <v>8</v>
      </c>
      <c r="AU98">
        <v>96</v>
      </c>
      <c r="AV98">
        <v>4</v>
      </c>
      <c r="AW98">
        <v>4</v>
      </c>
      <c r="AX98">
        <v>4</v>
      </c>
      <c r="AY98">
        <v>5</v>
      </c>
      <c r="AZ98">
        <v>6</v>
      </c>
      <c r="BC98">
        <v>96</v>
      </c>
      <c r="BD98">
        <v>9</v>
      </c>
      <c r="BE98">
        <v>9</v>
      </c>
      <c r="BF98">
        <v>9</v>
      </c>
      <c r="BG98">
        <v>9</v>
      </c>
      <c r="BH98">
        <v>11</v>
      </c>
      <c r="BK98" s="32">
        <v>96</v>
      </c>
      <c r="BL98">
        <v>5</v>
      </c>
      <c r="BM98">
        <v>1</v>
      </c>
    </row>
    <row r="99" spans="1:65" x14ac:dyDescent="0.45">
      <c r="A99" s="33"/>
      <c r="B99" s="32">
        <v>1</v>
      </c>
      <c r="C99" s="32">
        <v>97</v>
      </c>
      <c r="D99" s="32">
        <v>48</v>
      </c>
      <c r="E99" s="32">
        <v>60</v>
      </c>
      <c r="F99" s="32"/>
      <c r="G99" s="32"/>
      <c r="H99" s="32"/>
      <c r="I99" s="32"/>
      <c r="J99" s="32"/>
      <c r="K99" s="32"/>
      <c r="L99" s="32"/>
      <c r="M99" s="39"/>
      <c r="N99" s="43">
        <f t="shared" si="2"/>
        <v>2</v>
      </c>
      <c r="O99" s="33"/>
      <c r="P99" s="32">
        <v>1</v>
      </c>
      <c r="Q99" s="32">
        <v>97</v>
      </c>
      <c r="R99" s="32">
        <v>120</v>
      </c>
      <c r="S99" s="32"/>
      <c r="T99" s="32"/>
      <c r="U99" s="32"/>
      <c r="V99" s="32"/>
      <c r="W99" s="32"/>
      <c r="X99">
        <f t="shared" si="3"/>
        <v>1</v>
      </c>
      <c r="AC99">
        <v>97</v>
      </c>
      <c r="AD99">
        <v>325</v>
      </c>
      <c r="AF99">
        <v>360</v>
      </c>
      <c r="AI99">
        <v>97</v>
      </c>
      <c r="AJ99">
        <v>48</v>
      </c>
      <c r="AK99">
        <v>96</v>
      </c>
      <c r="AL99">
        <v>48</v>
      </c>
      <c r="AM99">
        <v>96</v>
      </c>
      <c r="AN99">
        <v>48</v>
      </c>
      <c r="AO99">
        <v>96</v>
      </c>
      <c r="AP99">
        <v>9</v>
      </c>
      <c r="AU99">
        <v>97</v>
      </c>
      <c r="AV99">
        <v>4</v>
      </c>
      <c r="AW99">
        <v>4</v>
      </c>
      <c r="AX99">
        <v>4</v>
      </c>
      <c r="AY99">
        <v>5</v>
      </c>
      <c r="AZ99">
        <v>6</v>
      </c>
      <c r="BC99">
        <v>97</v>
      </c>
      <c r="BD99">
        <v>9</v>
      </c>
      <c r="BE99">
        <v>9</v>
      </c>
      <c r="BF99">
        <v>9</v>
      </c>
      <c r="BG99">
        <v>9</v>
      </c>
      <c r="BH99">
        <v>11</v>
      </c>
      <c r="BK99" s="32">
        <v>97</v>
      </c>
      <c r="BL99">
        <v>5</v>
      </c>
      <c r="BM99">
        <v>1</v>
      </c>
    </row>
    <row r="100" spans="1:65" x14ac:dyDescent="0.45">
      <c r="A100" s="33"/>
      <c r="B100" s="32">
        <v>2</v>
      </c>
      <c r="C100" s="32">
        <v>98</v>
      </c>
      <c r="D100" s="32">
        <v>48</v>
      </c>
      <c r="E100" s="32">
        <v>60</v>
      </c>
      <c r="F100" s="32"/>
      <c r="G100" s="32"/>
      <c r="H100" s="32"/>
      <c r="I100" s="32"/>
      <c r="J100" s="32"/>
      <c r="K100" s="32"/>
      <c r="L100" s="32"/>
      <c r="M100" s="39"/>
      <c r="N100" s="43">
        <f t="shared" si="2"/>
        <v>2</v>
      </c>
      <c r="O100" s="33"/>
      <c r="P100" s="32">
        <v>2</v>
      </c>
      <c r="Q100" s="32">
        <v>98</v>
      </c>
      <c r="R100" s="32">
        <v>120</v>
      </c>
      <c r="S100" s="32"/>
      <c r="T100" s="32"/>
      <c r="U100" s="32"/>
      <c r="V100" s="32"/>
      <c r="W100" s="32"/>
      <c r="X100">
        <f t="shared" si="3"/>
        <v>1</v>
      </c>
      <c r="AC100">
        <v>98</v>
      </c>
      <c r="AD100">
        <v>325</v>
      </c>
      <c r="AF100">
        <v>360</v>
      </c>
      <c r="AI100">
        <v>98</v>
      </c>
      <c r="AJ100">
        <v>48</v>
      </c>
      <c r="AK100">
        <v>96</v>
      </c>
      <c r="AL100">
        <v>48</v>
      </c>
      <c r="AM100">
        <v>96</v>
      </c>
      <c r="AN100">
        <v>48</v>
      </c>
      <c r="AO100">
        <v>96</v>
      </c>
      <c r="AP100">
        <v>9</v>
      </c>
      <c r="AU100">
        <v>98</v>
      </c>
      <c r="AV100">
        <v>4</v>
      </c>
      <c r="AW100">
        <v>4</v>
      </c>
      <c r="AX100">
        <v>4</v>
      </c>
      <c r="AY100">
        <v>5</v>
      </c>
      <c r="AZ100">
        <v>6</v>
      </c>
      <c r="BC100">
        <v>98</v>
      </c>
      <c r="BD100">
        <v>9</v>
      </c>
      <c r="BE100">
        <v>9</v>
      </c>
      <c r="BF100">
        <v>9</v>
      </c>
      <c r="BG100">
        <v>9</v>
      </c>
      <c r="BH100">
        <v>11</v>
      </c>
      <c r="BK100" s="32">
        <v>98</v>
      </c>
      <c r="BL100">
        <v>5</v>
      </c>
      <c r="BM100">
        <v>1</v>
      </c>
    </row>
    <row r="101" spans="1:65" x14ac:dyDescent="0.45">
      <c r="A101" s="33"/>
      <c r="B101" s="32">
        <v>3</v>
      </c>
      <c r="C101" s="32">
        <v>99</v>
      </c>
      <c r="D101" s="32">
        <v>48</v>
      </c>
      <c r="E101" s="32">
        <v>60</v>
      </c>
      <c r="F101" s="32"/>
      <c r="G101" s="32"/>
      <c r="H101" s="32"/>
      <c r="I101" s="32"/>
      <c r="J101" s="32"/>
      <c r="K101" s="32"/>
      <c r="L101" s="32"/>
      <c r="M101" s="39"/>
      <c r="N101" s="43">
        <f t="shared" si="2"/>
        <v>2</v>
      </c>
      <c r="O101" s="33"/>
      <c r="P101" s="32">
        <v>3</v>
      </c>
      <c r="Q101" s="32">
        <v>99</v>
      </c>
      <c r="R101" s="32">
        <v>120</v>
      </c>
      <c r="S101" s="32"/>
      <c r="T101" s="32"/>
      <c r="U101" s="32"/>
      <c r="V101" s="32"/>
      <c r="W101" s="32"/>
      <c r="X101">
        <f t="shared" si="3"/>
        <v>1</v>
      </c>
      <c r="AC101">
        <v>99</v>
      </c>
      <c r="AD101">
        <v>325</v>
      </c>
      <c r="AF101">
        <v>360</v>
      </c>
      <c r="AI101">
        <v>99</v>
      </c>
      <c r="AJ101">
        <v>48</v>
      </c>
      <c r="AK101">
        <v>96</v>
      </c>
      <c r="AL101">
        <v>48</v>
      </c>
      <c r="AM101">
        <v>96</v>
      </c>
      <c r="AN101">
        <v>48</v>
      </c>
      <c r="AO101">
        <v>96</v>
      </c>
      <c r="AP101">
        <v>9</v>
      </c>
      <c r="AU101">
        <v>99</v>
      </c>
      <c r="AV101">
        <v>4</v>
      </c>
      <c r="AW101">
        <v>4</v>
      </c>
      <c r="AX101">
        <v>4</v>
      </c>
      <c r="AY101">
        <v>5</v>
      </c>
      <c r="AZ101">
        <v>6</v>
      </c>
      <c r="BC101">
        <v>99</v>
      </c>
      <c r="BD101">
        <v>9</v>
      </c>
      <c r="BE101">
        <v>9</v>
      </c>
      <c r="BF101">
        <v>9</v>
      </c>
      <c r="BG101">
        <v>9</v>
      </c>
      <c r="BH101">
        <v>11</v>
      </c>
      <c r="BK101" s="32">
        <v>99</v>
      </c>
      <c r="BL101">
        <v>5</v>
      </c>
      <c r="BM101">
        <v>1</v>
      </c>
    </row>
    <row r="102" spans="1:65" x14ac:dyDescent="0.45">
      <c r="A102" s="33"/>
      <c r="B102" s="32">
        <v>4</v>
      </c>
      <c r="C102" s="32">
        <v>100</v>
      </c>
      <c r="D102" s="32">
        <v>48</v>
      </c>
      <c r="E102" s="32">
        <v>60</v>
      </c>
      <c r="F102" s="32"/>
      <c r="G102" s="32"/>
      <c r="H102" s="32"/>
      <c r="I102" s="32"/>
      <c r="J102" s="32"/>
      <c r="K102" s="32"/>
      <c r="L102" s="32"/>
      <c r="M102" s="39"/>
      <c r="N102" s="43">
        <f t="shared" si="2"/>
        <v>2</v>
      </c>
      <c r="O102" s="33"/>
      <c r="P102" s="32">
        <v>4</v>
      </c>
      <c r="Q102" s="32">
        <v>100</v>
      </c>
      <c r="R102" s="32">
        <v>120</v>
      </c>
      <c r="S102" s="32"/>
      <c r="T102" s="32"/>
      <c r="U102" s="32"/>
      <c r="V102" s="32"/>
      <c r="W102" s="32"/>
      <c r="X102">
        <f t="shared" si="3"/>
        <v>1</v>
      </c>
      <c r="AC102">
        <v>100</v>
      </c>
      <c r="AD102">
        <v>325</v>
      </c>
      <c r="AF102">
        <v>360</v>
      </c>
      <c r="AI102">
        <v>100</v>
      </c>
      <c r="AJ102">
        <v>48</v>
      </c>
      <c r="AK102">
        <v>96</v>
      </c>
      <c r="AL102">
        <v>48</v>
      </c>
      <c r="AM102">
        <v>96</v>
      </c>
      <c r="AN102">
        <v>48</v>
      </c>
      <c r="AO102">
        <v>96</v>
      </c>
      <c r="AP102">
        <v>9</v>
      </c>
      <c r="AU102">
        <v>100</v>
      </c>
      <c r="AV102">
        <v>4</v>
      </c>
      <c r="AW102">
        <v>4</v>
      </c>
      <c r="AX102">
        <v>4</v>
      </c>
      <c r="AY102">
        <v>5</v>
      </c>
      <c r="AZ102">
        <v>6</v>
      </c>
      <c r="BC102">
        <v>100</v>
      </c>
      <c r="BD102">
        <v>9</v>
      </c>
      <c r="BE102">
        <v>9</v>
      </c>
      <c r="BF102">
        <v>9</v>
      </c>
      <c r="BG102">
        <v>9</v>
      </c>
      <c r="BH102">
        <v>11</v>
      </c>
      <c r="BK102" s="32">
        <v>100</v>
      </c>
      <c r="BL102">
        <v>5</v>
      </c>
      <c r="BM102">
        <v>1</v>
      </c>
    </row>
    <row r="103" spans="1:65" x14ac:dyDescent="0.45">
      <c r="A103" s="33"/>
      <c r="B103" s="32">
        <v>5</v>
      </c>
      <c r="C103" s="32">
        <v>101</v>
      </c>
      <c r="D103" s="32">
        <v>48</v>
      </c>
      <c r="E103" s="32">
        <v>60</v>
      </c>
      <c r="F103" s="32"/>
      <c r="G103" s="32"/>
      <c r="H103" s="32"/>
      <c r="I103" s="32"/>
      <c r="J103" s="32"/>
      <c r="K103" s="32"/>
      <c r="L103" s="32"/>
      <c r="M103" s="39"/>
      <c r="N103" s="43">
        <f t="shared" si="2"/>
        <v>2</v>
      </c>
      <c r="O103" s="33"/>
      <c r="P103" s="32">
        <v>5</v>
      </c>
      <c r="Q103" s="32">
        <v>101</v>
      </c>
      <c r="R103" s="32">
        <v>120</v>
      </c>
      <c r="S103" s="32"/>
      <c r="T103" s="32"/>
      <c r="U103" s="32"/>
      <c r="V103" s="32"/>
      <c r="W103" s="32"/>
      <c r="X103">
        <f t="shared" si="3"/>
        <v>1</v>
      </c>
      <c r="AC103">
        <v>101</v>
      </c>
      <c r="AD103">
        <v>325</v>
      </c>
      <c r="AF103">
        <v>360</v>
      </c>
      <c r="AI103">
        <v>101</v>
      </c>
      <c r="AJ103">
        <v>48</v>
      </c>
      <c r="AK103">
        <v>96</v>
      </c>
      <c r="AL103">
        <v>48</v>
      </c>
      <c r="AM103">
        <v>96</v>
      </c>
      <c r="AN103">
        <v>48</v>
      </c>
      <c r="AO103">
        <v>96</v>
      </c>
      <c r="AP103">
        <v>9</v>
      </c>
      <c r="AU103">
        <v>101</v>
      </c>
      <c r="AV103">
        <v>4</v>
      </c>
      <c r="AW103">
        <v>4</v>
      </c>
      <c r="AX103">
        <v>4</v>
      </c>
      <c r="AY103">
        <v>5</v>
      </c>
      <c r="AZ103">
        <v>6</v>
      </c>
      <c r="BC103">
        <v>101</v>
      </c>
      <c r="BD103">
        <v>9</v>
      </c>
      <c r="BE103">
        <v>9</v>
      </c>
      <c r="BF103">
        <v>9</v>
      </c>
      <c r="BG103">
        <v>9</v>
      </c>
      <c r="BH103">
        <v>11</v>
      </c>
      <c r="BK103" s="32">
        <v>101</v>
      </c>
      <c r="BL103">
        <v>5</v>
      </c>
      <c r="BM103">
        <v>1</v>
      </c>
    </row>
    <row r="104" spans="1:65" x14ac:dyDescent="0.45">
      <c r="A104" s="33"/>
      <c r="B104" s="32">
        <v>6</v>
      </c>
      <c r="C104" s="32">
        <v>102</v>
      </c>
      <c r="D104" s="32">
        <v>48</v>
      </c>
      <c r="E104" s="32">
        <v>60</v>
      </c>
      <c r="F104" s="32"/>
      <c r="G104" s="32"/>
      <c r="H104" s="32"/>
      <c r="I104" s="32"/>
      <c r="J104" s="32"/>
      <c r="K104" s="32"/>
      <c r="L104" s="32"/>
      <c r="M104" s="39"/>
      <c r="N104" s="43">
        <f t="shared" si="2"/>
        <v>2</v>
      </c>
      <c r="O104" s="33"/>
      <c r="P104" s="32">
        <v>6</v>
      </c>
      <c r="Q104" s="32">
        <v>102</v>
      </c>
      <c r="R104" s="32">
        <v>120</v>
      </c>
      <c r="S104" s="32"/>
      <c r="T104" s="32"/>
      <c r="U104" s="32"/>
      <c r="V104" s="32"/>
      <c r="W104" s="32"/>
      <c r="X104">
        <f t="shared" si="3"/>
        <v>1</v>
      </c>
      <c r="AC104">
        <v>102</v>
      </c>
      <c r="AD104">
        <v>325</v>
      </c>
      <c r="AF104">
        <v>360</v>
      </c>
      <c r="AI104">
        <v>102</v>
      </c>
      <c r="AJ104">
        <v>48</v>
      </c>
      <c r="AK104">
        <v>96</v>
      </c>
      <c r="AL104">
        <v>48</v>
      </c>
      <c r="AM104">
        <v>96</v>
      </c>
      <c r="AN104">
        <v>48</v>
      </c>
      <c r="AO104">
        <v>96</v>
      </c>
      <c r="AP104">
        <v>9</v>
      </c>
      <c r="AU104">
        <v>102</v>
      </c>
      <c r="AV104">
        <v>4</v>
      </c>
      <c r="AW104">
        <v>4</v>
      </c>
      <c r="AX104">
        <v>4</v>
      </c>
      <c r="AY104">
        <v>5</v>
      </c>
      <c r="AZ104">
        <v>6</v>
      </c>
      <c r="BC104">
        <v>102</v>
      </c>
      <c r="BD104">
        <v>9</v>
      </c>
      <c r="BE104">
        <v>9</v>
      </c>
      <c r="BF104">
        <v>9</v>
      </c>
      <c r="BG104">
        <v>9</v>
      </c>
      <c r="BH104">
        <v>11</v>
      </c>
      <c r="BK104" s="32">
        <v>102</v>
      </c>
      <c r="BL104">
        <v>5</v>
      </c>
      <c r="BM104">
        <v>1</v>
      </c>
    </row>
    <row r="105" spans="1:65" x14ac:dyDescent="0.45">
      <c r="A105" s="33"/>
      <c r="B105" s="32">
        <v>7</v>
      </c>
      <c r="C105" s="32">
        <v>103</v>
      </c>
      <c r="D105" s="32">
        <v>48</v>
      </c>
      <c r="E105" s="32">
        <v>60</v>
      </c>
      <c r="F105" s="32"/>
      <c r="G105" s="32"/>
      <c r="H105" s="32"/>
      <c r="I105" s="32"/>
      <c r="J105" s="32"/>
      <c r="K105" s="32"/>
      <c r="L105" s="32"/>
      <c r="M105" s="39"/>
      <c r="N105" s="43">
        <f t="shared" si="2"/>
        <v>2</v>
      </c>
      <c r="O105" s="33"/>
      <c r="P105" s="32">
        <v>7</v>
      </c>
      <c r="Q105" s="32">
        <v>103</v>
      </c>
      <c r="R105" s="32">
        <v>120</v>
      </c>
      <c r="S105" s="32"/>
      <c r="T105" s="32"/>
      <c r="U105" s="32"/>
      <c r="V105" s="32"/>
      <c r="W105" s="32"/>
      <c r="X105">
        <f t="shared" si="3"/>
        <v>1</v>
      </c>
      <c r="AC105">
        <v>103</v>
      </c>
      <c r="AD105">
        <v>173</v>
      </c>
      <c r="AE105">
        <v>173</v>
      </c>
      <c r="AF105">
        <v>360</v>
      </c>
      <c r="AI105">
        <v>103</v>
      </c>
      <c r="AJ105">
        <v>48</v>
      </c>
      <c r="AK105">
        <v>96</v>
      </c>
      <c r="AL105">
        <v>48</v>
      </c>
      <c r="AM105">
        <v>96</v>
      </c>
      <c r="AN105">
        <v>48</v>
      </c>
      <c r="AO105">
        <v>96</v>
      </c>
      <c r="AP105">
        <v>9</v>
      </c>
      <c r="AU105">
        <v>103</v>
      </c>
      <c r="AV105">
        <v>4</v>
      </c>
      <c r="AW105">
        <v>4</v>
      </c>
      <c r="AX105">
        <v>4</v>
      </c>
      <c r="AY105">
        <v>5</v>
      </c>
      <c r="AZ105">
        <v>6</v>
      </c>
      <c r="BC105">
        <v>103</v>
      </c>
      <c r="BD105">
        <v>9</v>
      </c>
      <c r="BE105">
        <v>9</v>
      </c>
      <c r="BF105">
        <v>9</v>
      </c>
      <c r="BG105">
        <v>9</v>
      </c>
      <c r="BH105">
        <v>11</v>
      </c>
      <c r="BK105" s="32">
        <v>103</v>
      </c>
      <c r="BL105">
        <v>5</v>
      </c>
      <c r="BM105">
        <v>1</v>
      </c>
    </row>
    <row r="106" spans="1:65" x14ac:dyDescent="0.45">
      <c r="A106" s="33"/>
      <c r="B106" s="32">
        <v>8</v>
      </c>
      <c r="C106" s="32">
        <v>104</v>
      </c>
      <c r="D106" s="32">
        <v>48</v>
      </c>
      <c r="E106" s="32">
        <v>60</v>
      </c>
      <c r="F106" s="32"/>
      <c r="G106" s="32"/>
      <c r="H106" s="32"/>
      <c r="I106" s="32"/>
      <c r="J106" s="32"/>
      <c r="K106" s="32"/>
      <c r="L106" s="32"/>
      <c r="M106" s="39"/>
      <c r="N106" s="43">
        <f t="shared" si="2"/>
        <v>2</v>
      </c>
      <c r="O106" s="33"/>
      <c r="P106" s="32">
        <v>8</v>
      </c>
      <c r="Q106" s="32">
        <v>104</v>
      </c>
      <c r="R106" s="32">
        <v>120</v>
      </c>
      <c r="S106" s="32"/>
      <c r="T106" s="32"/>
      <c r="U106" s="32"/>
      <c r="V106" s="32"/>
      <c r="W106" s="32"/>
      <c r="X106">
        <f t="shared" si="3"/>
        <v>1</v>
      </c>
      <c r="AC106">
        <v>104</v>
      </c>
      <c r="AD106">
        <v>173</v>
      </c>
      <c r="AE106">
        <v>173</v>
      </c>
      <c r="AF106">
        <v>360</v>
      </c>
      <c r="AI106">
        <v>104</v>
      </c>
      <c r="AJ106">
        <v>48</v>
      </c>
      <c r="AK106">
        <v>96</v>
      </c>
      <c r="AL106">
        <v>48</v>
      </c>
      <c r="AM106">
        <v>96</v>
      </c>
      <c r="AN106">
        <v>48</v>
      </c>
      <c r="AO106">
        <v>96</v>
      </c>
      <c r="AP106">
        <v>9</v>
      </c>
      <c r="AU106">
        <v>104</v>
      </c>
      <c r="AV106">
        <v>5</v>
      </c>
      <c r="AW106">
        <v>5</v>
      </c>
      <c r="AX106">
        <v>5</v>
      </c>
      <c r="AY106">
        <v>7</v>
      </c>
      <c r="AZ106">
        <v>9</v>
      </c>
      <c r="BC106">
        <v>104</v>
      </c>
      <c r="BD106">
        <v>9</v>
      </c>
      <c r="BE106">
        <v>9</v>
      </c>
      <c r="BF106">
        <v>9</v>
      </c>
      <c r="BG106">
        <v>9</v>
      </c>
      <c r="BH106">
        <v>11</v>
      </c>
      <c r="BK106" s="32">
        <v>104</v>
      </c>
      <c r="BL106">
        <v>5</v>
      </c>
      <c r="BM106">
        <v>1</v>
      </c>
    </row>
    <row r="107" spans="1:65" x14ac:dyDescent="0.45">
      <c r="A107" s="33"/>
      <c r="B107" s="32">
        <v>9</v>
      </c>
      <c r="C107" s="32">
        <v>105</v>
      </c>
      <c r="D107" s="32">
        <v>48</v>
      </c>
      <c r="E107" s="32">
        <v>60</v>
      </c>
      <c r="F107" s="32"/>
      <c r="G107" s="32"/>
      <c r="H107" s="32"/>
      <c r="I107" s="32"/>
      <c r="J107" s="32"/>
      <c r="K107" s="32"/>
      <c r="L107" s="32"/>
      <c r="M107" s="39"/>
      <c r="N107" s="43">
        <f t="shared" si="2"/>
        <v>2</v>
      </c>
      <c r="O107" s="33"/>
      <c r="P107" s="32">
        <v>9</v>
      </c>
      <c r="Q107" s="32">
        <v>105</v>
      </c>
      <c r="R107" s="32">
        <v>120</v>
      </c>
      <c r="S107" s="32"/>
      <c r="T107" s="32"/>
      <c r="U107" s="32"/>
      <c r="V107" s="32"/>
      <c r="W107" s="32"/>
      <c r="X107">
        <f t="shared" si="3"/>
        <v>1</v>
      </c>
      <c r="AC107">
        <v>105</v>
      </c>
      <c r="AD107">
        <v>173</v>
      </c>
      <c r="AE107">
        <v>173</v>
      </c>
      <c r="AF107">
        <v>360</v>
      </c>
      <c r="AI107">
        <v>105</v>
      </c>
      <c r="AJ107">
        <v>48</v>
      </c>
      <c r="AK107">
        <v>96</v>
      </c>
      <c r="AL107">
        <v>48</v>
      </c>
      <c r="AM107">
        <v>96</v>
      </c>
      <c r="AN107">
        <v>48</v>
      </c>
      <c r="AO107">
        <v>96</v>
      </c>
      <c r="AP107">
        <v>9</v>
      </c>
      <c r="AU107">
        <v>105</v>
      </c>
      <c r="AV107">
        <v>5</v>
      </c>
      <c r="AW107">
        <v>5</v>
      </c>
      <c r="AX107">
        <v>5</v>
      </c>
      <c r="AY107">
        <v>7</v>
      </c>
      <c r="AZ107">
        <v>9</v>
      </c>
      <c r="BC107">
        <v>105</v>
      </c>
      <c r="BD107">
        <v>9</v>
      </c>
      <c r="BE107">
        <v>9</v>
      </c>
      <c r="BF107">
        <v>9</v>
      </c>
      <c r="BG107">
        <v>9</v>
      </c>
      <c r="BH107">
        <v>11</v>
      </c>
      <c r="BK107" s="32">
        <v>105</v>
      </c>
      <c r="BL107">
        <v>5</v>
      </c>
      <c r="BM107">
        <v>1</v>
      </c>
    </row>
    <row r="108" spans="1:65" x14ac:dyDescent="0.45">
      <c r="A108" s="33"/>
      <c r="B108" s="32">
        <v>10</v>
      </c>
      <c r="C108" s="32">
        <v>106</v>
      </c>
      <c r="D108" s="32">
        <v>48</v>
      </c>
      <c r="E108" s="32">
        <v>60</v>
      </c>
      <c r="F108" s="32"/>
      <c r="G108" s="32"/>
      <c r="H108" s="32"/>
      <c r="I108" s="32"/>
      <c r="J108" s="32"/>
      <c r="K108" s="32"/>
      <c r="L108" s="32"/>
      <c r="M108" s="39"/>
      <c r="N108" s="43">
        <f t="shared" si="2"/>
        <v>2</v>
      </c>
      <c r="O108" s="33"/>
      <c r="P108" s="32">
        <v>10</v>
      </c>
      <c r="Q108" s="32">
        <v>106</v>
      </c>
      <c r="R108" s="32">
        <v>120</v>
      </c>
      <c r="S108" s="32"/>
      <c r="T108" s="32"/>
      <c r="U108" s="32"/>
      <c r="V108" s="32"/>
      <c r="W108" s="32"/>
      <c r="X108">
        <f t="shared" si="3"/>
        <v>1</v>
      </c>
      <c r="AC108">
        <v>106</v>
      </c>
      <c r="AD108">
        <v>173</v>
      </c>
      <c r="AE108">
        <v>173</v>
      </c>
      <c r="AF108">
        <v>360</v>
      </c>
      <c r="AI108">
        <v>106</v>
      </c>
      <c r="AJ108">
        <v>48</v>
      </c>
      <c r="AK108">
        <v>96</v>
      </c>
      <c r="AL108">
        <v>48</v>
      </c>
      <c r="AM108">
        <v>96</v>
      </c>
      <c r="AN108">
        <v>48</v>
      </c>
      <c r="AO108">
        <v>96</v>
      </c>
      <c r="AP108">
        <v>9</v>
      </c>
      <c r="AU108">
        <v>106</v>
      </c>
      <c r="AV108">
        <v>5</v>
      </c>
      <c r="AW108">
        <v>5</v>
      </c>
      <c r="AX108">
        <v>5</v>
      </c>
      <c r="AY108">
        <v>7</v>
      </c>
      <c r="AZ108">
        <v>9</v>
      </c>
      <c r="BC108">
        <v>106</v>
      </c>
      <c r="BD108">
        <v>9</v>
      </c>
      <c r="BE108">
        <v>9</v>
      </c>
      <c r="BF108">
        <v>9</v>
      </c>
      <c r="BG108">
        <v>9</v>
      </c>
      <c r="BH108">
        <v>11</v>
      </c>
      <c r="BK108" s="32">
        <v>106</v>
      </c>
      <c r="BL108">
        <v>5</v>
      </c>
      <c r="BM108">
        <v>1</v>
      </c>
    </row>
    <row r="109" spans="1:65" x14ac:dyDescent="0.45">
      <c r="A109" s="33"/>
      <c r="B109" s="32">
        <v>11</v>
      </c>
      <c r="C109" s="32">
        <v>107</v>
      </c>
      <c r="D109" s="32">
        <v>48</v>
      </c>
      <c r="E109" s="32">
        <v>60</v>
      </c>
      <c r="F109" s="32"/>
      <c r="G109" s="32"/>
      <c r="H109" s="32"/>
      <c r="I109" s="32"/>
      <c r="J109" s="32"/>
      <c r="K109" s="32"/>
      <c r="L109" s="32"/>
      <c r="M109" s="39"/>
      <c r="N109" s="43">
        <f t="shared" si="2"/>
        <v>2</v>
      </c>
      <c r="O109" s="33"/>
      <c r="P109" s="32">
        <v>11</v>
      </c>
      <c r="Q109" s="32">
        <v>107</v>
      </c>
      <c r="R109" s="32">
        <v>120</v>
      </c>
      <c r="S109" s="32"/>
      <c r="T109" s="32"/>
      <c r="U109" s="32"/>
      <c r="V109" s="32"/>
      <c r="W109" s="32"/>
      <c r="X109">
        <f t="shared" si="3"/>
        <v>1</v>
      </c>
      <c r="AC109">
        <v>107</v>
      </c>
      <c r="AD109">
        <v>173</v>
      </c>
      <c r="AE109">
        <v>173</v>
      </c>
      <c r="AF109">
        <v>360</v>
      </c>
      <c r="AI109">
        <v>107</v>
      </c>
      <c r="AJ109">
        <v>48</v>
      </c>
      <c r="AK109">
        <v>96</v>
      </c>
      <c r="AL109">
        <v>48</v>
      </c>
      <c r="AM109">
        <v>96</v>
      </c>
      <c r="AN109">
        <v>48</v>
      </c>
      <c r="AO109">
        <v>96</v>
      </c>
      <c r="AP109">
        <v>9</v>
      </c>
      <c r="AU109">
        <v>107</v>
      </c>
      <c r="AV109">
        <v>5</v>
      </c>
      <c r="AW109">
        <v>5</v>
      </c>
      <c r="AX109">
        <v>5</v>
      </c>
      <c r="AY109">
        <v>7</v>
      </c>
      <c r="AZ109">
        <v>9</v>
      </c>
      <c r="BC109">
        <v>107</v>
      </c>
      <c r="BD109">
        <v>9</v>
      </c>
      <c r="BE109">
        <v>9</v>
      </c>
      <c r="BF109">
        <v>9</v>
      </c>
      <c r="BG109">
        <v>9</v>
      </c>
      <c r="BH109">
        <v>11</v>
      </c>
      <c r="BK109" s="32">
        <v>107</v>
      </c>
      <c r="BL109">
        <v>5</v>
      </c>
      <c r="BM109">
        <v>1</v>
      </c>
    </row>
    <row r="110" spans="1:65" x14ac:dyDescent="0.45">
      <c r="A110" s="33">
        <v>9</v>
      </c>
      <c r="B110" s="32"/>
      <c r="C110" s="32">
        <v>108</v>
      </c>
      <c r="D110" s="32">
        <v>48</v>
      </c>
      <c r="E110" s="32">
        <v>60</v>
      </c>
      <c r="F110" s="32"/>
      <c r="G110" s="32"/>
      <c r="H110" s="32"/>
      <c r="I110" s="32"/>
      <c r="J110" s="32"/>
      <c r="K110" s="32"/>
      <c r="L110" s="32"/>
      <c r="M110" s="39"/>
      <c r="N110" s="43">
        <f t="shared" si="2"/>
        <v>2</v>
      </c>
      <c r="O110" s="33">
        <v>9</v>
      </c>
      <c r="P110" s="32"/>
      <c r="Q110" s="32">
        <v>108</v>
      </c>
      <c r="R110" s="32">
        <v>120</v>
      </c>
      <c r="S110" s="32"/>
      <c r="T110" s="32"/>
      <c r="U110" s="32"/>
      <c r="V110" s="32"/>
      <c r="W110" s="32"/>
      <c r="X110">
        <f t="shared" si="3"/>
        <v>1</v>
      </c>
      <c r="AC110">
        <v>108</v>
      </c>
      <c r="AD110">
        <v>173</v>
      </c>
      <c r="AE110">
        <v>173</v>
      </c>
      <c r="AF110">
        <v>360</v>
      </c>
      <c r="AI110">
        <v>108</v>
      </c>
      <c r="AJ110">
        <v>48</v>
      </c>
      <c r="AK110">
        <v>96</v>
      </c>
      <c r="AL110">
        <v>48</v>
      </c>
      <c r="AM110">
        <v>96</v>
      </c>
      <c r="AN110">
        <v>48</v>
      </c>
      <c r="AO110">
        <v>96</v>
      </c>
      <c r="AP110">
        <v>9</v>
      </c>
      <c r="AU110">
        <v>108</v>
      </c>
      <c r="AV110">
        <v>5</v>
      </c>
      <c r="AW110">
        <v>5</v>
      </c>
      <c r="AX110">
        <v>5</v>
      </c>
      <c r="AY110">
        <v>7</v>
      </c>
      <c r="AZ110">
        <v>9</v>
      </c>
      <c r="BC110">
        <v>108</v>
      </c>
      <c r="BD110">
        <v>9</v>
      </c>
      <c r="BE110">
        <v>9</v>
      </c>
      <c r="BF110">
        <v>9</v>
      </c>
      <c r="BG110">
        <v>9</v>
      </c>
      <c r="BH110">
        <v>11</v>
      </c>
      <c r="BK110" s="32">
        <v>108</v>
      </c>
      <c r="BL110">
        <v>5</v>
      </c>
      <c r="BM110">
        <v>1</v>
      </c>
    </row>
    <row r="111" spans="1:65" x14ac:dyDescent="0.45">
      <c r="A111" s="33"/>
      <c r="B111" s="32">
        <v>1</v>
      </c>
      <c r="C111" s="32">
        <v>109</v>
      </c>
      <c r="D111" s="32">
        <v>60</v>
      </c>
      <c r="E111" s="32">
        <v>60</v>
      </c>
      <c r="F111" s="32"/>
      <c r="G111" s="32"/>
      <c r="H111" s="32"/>
      <c r="I111" s="32"/>
      <c r="J111" s="32"/>
      <c r="K111" s="32"/>
      <c r="L111" s="32"/>
      <c r="M111" s="39"/>
      <c r="N111" s="43">
        <f t="shared" si="2"/>
        <v>2</v>
      </c>
      <c r="O111" s="33"/>
      <c r="P111" s="32">
        <v>1</v>
      </c>
      <c r="Q111" s="32">
        <v>109</v>
      </c>
      <c r="R111" s="32">
        <v>120</v>
      </c>
      <c r="S111" s="32"/>
      <c r="T111" s="32"/>
      <c r="U111" s="32"/>
      <c r="V111" s="32"/>
      <c r="W111" s="32"/>
      <c r="X111">
        <f t="shared" si="3"/>
        <v>1</v>
      </c>
      <c r="AC111">
        <v>109</v>
      </c>
      <c r="AD111">
        <v>183</v>
      </c>
      <c r="AE111">
        <v>183</v>
      </c>
      <c r="AF111">
        <v>360</v>
      </c>
      <c r="AI111">
        <v>109</v>
      </c>
      <c r="AJ111">
        <v>48</v>
      </c>
      <c r="AK111">
        <v>96</v>
      </c>
      <c r="AL111">
        <v>48</v>
      </c>
      <c r="AM111">
        <v>96</v>
      </c>
      <c r="AN111">
        <v>48</v>
      </c>
      <c r="AO111">
        <v>96</v>
      </c>
      <c r="AP111">
        <v>10</v>
      </c>
      <c r="AU111">
        <v>109</v>
      </c>
      <c r="AV111">
        <v>5</v>
      </c>
      <c r="AW111">
        <v>5</v>
      </c>
      <c r="AX111">
        <v>5</v>
      </c>
      <c r="AY111">
        <v>7</v>
      </c>
      <c r="AZ111">
        <v>9</v>
      </c>
      <c r="BC111">
        <v>109</v>
      </c>
      <c r="BD111">
        <v>10</v>
      </c>
      <c r="BE111">
        <v>10</v>
      </c>
      <c r="BF111">
        <v>10</v>
      </c>
      <c r="BG111">
        <v>10</v>
      </c>
      <c r="BH111">
        <v>12</v>
      </c>
      <c r="BK111" s="32">
        <v>109</v>
      </c>
      <c r="BL111">
        <v>5</v>
      </c>
      <c r="BM111">
        <v>1</v>
      </c>
    </row>
    <row r="112" spans="1:65" x14ac:dyDescent="0.45">
      <c r="A112" s="33"/>
      <c r="B112" s="32">
        <v>2</v>
      </c>
      <c r="C112" s="32">
        <v>110</v>
      </c>
      <c r="D112" s="32">
        <v>60</v>
      </c>
      <c r="E112" s="32">
        <v>60</v>
      </c>
      <c r="F112" s="32"/>
      <c r="G112" s="32"/>
      <c r="H112" s="32"/>
      <c r="I112" s="32"/>
      <c r="J112" s="32"/>
      <c r="K112" s="32"/>
      <c r="L112" s="32"/>
      <c r="M112" s="39"/>
      <c r="N112" s="43">
        <f t="shared" si="2"/>
        <v>2</v>
      </c>
      <c r="O112" s="33"/>
      <c r="P112" s="32">
        <v>2</v>
      </c>
      <c r="Q112" s="32">
        <v>110</v>
      </c>
      <c r="R112" s="32">
        <v>120</v>
      </c>
      <c r="S112" s="32"/>
      <c r="T112" s="32"/>
      <c r="U112" s="32"/>
      <c r="V112" s="32"/>
      <c r="W112" s="32"/>
      <c r="X112">
        <f t="shared" si="3"/>
        <v>1</v>
      </c>
      <c r="AC112">
        <v>110</v>
      </c>
      <c r="AD112">
        <v>183</v>
      </c>
      <c r="AE112">
        <v>183</v>
      </c>
      <c r="AF112">
        <v>360</v>
      </c>
      <c r="AI112">
        <v>110</v>
      </c>
      <c r="AJ112">
        <v>48</v>
      </c>
      <c r="AK112">
        <v>96</v>
      </c>
      <c r="AL112">
        <v>48</v>
      </c>
      <c r="AM112">
        <v>96</v>
      </c>
      <c r="AN112">
        <v>48</v>
      </c>
      <c r="AO112">
        <v>96</v>
      </c>
      <c r="AP112">
        <v>10</v>
      </c>
      <c r="AU112">
        <v>110</v>
      </c>
      <c r="AV112">
        <v>5</v>
      </c>
      <c r="AW112">
        <v>5</v>
      </c>
      <c r="AX112">
        <v>5</v>
      </c>
      <c r="AY112">
        <v>7</v>
      </c>
      <c r="AZ112">
        <v>9</v>
      </c>
      <c r="BC112">
        <v>110</v>
      </c>
      <c r="BD112">
        <v>10</v>
      </c>
      <c r="BE112">
        <v>10</v>
      </c>
      <c r="BF112">
        <v>10</v>
      </c>
      <c r="BG112">
        <v>10</v>
      </c>
      <c r="BH112">
        <v>12</v>
      </c>
      <c r="BK112" s="32">
        <v>110</v>
      </c>
      <c r="BL112">
        <v>5</v>
      </c>
      <c r="BM112">
        <v>1</v>
      </c>
    </row>
    <row r="113" spans="1:65" x14ac:dyDescent="0.45">
      <c r="A113" s="33"/>
      <c r="B113" s="32">
        <v>3</v>
      </c>
      <c r="C113" s="32">
        <v>111</v>
      </c>
      <c r="D113" s="32">
        <v>60</v>
      </c>
      <c r="E113" s="32">
        <v>60</v>
      </c>
      <c r="F113" s="32"/>
      <c r="G113" s="32"/>
      <c r="H113" s="32"/>
      <c r="I113" s="32"/>
      <c r="J113" s="32"/>
      <c r="K113" s="32"/>
      <c r="L113" s="32"/>
      <c r="M113" s="39"/>
      <c r="N113" s="43">
        <f t="shared" si="2"/>
        <v>2</v>
      </c>
      <c r="O113" s="33"/>
      <c r="P113" s="32">
        <v>3</v>
      </c>
      <c r="Q113" s="32">
        <v>111</v>
      </c>
      <c r="R113" s="32">
        <v>120</v>
      </c>
      <c r="S113" s="32"/>
      <c r="T113" s="32"/>
      <c r="U113" s="32"/>
      <c r="V113" s="32"/>
      <c r="W113" s="32"/>
      <c r="X113">
        <f t="shared" si="3"/>
        <v>1</v>
      </c>
      <c r="AC113">
        <v>111</v>
      </c>
      <c r="AD113">
        <v>183</v>
      </c>
      <c r="AE113">
        <v>183</v>
      </c>
      <c r="AF113">
        <v>360</v>
      </c>
      <c r="AI113">
        <v>111</v>
      </c>
      <c r="AJ113">
        <v>48</v>
      </c>
      <c r="AK113">
        <v>96</v>
      </c>
      <c r="AL113">
        <v>48</v>
      </c>
      <c r="AM113">
        <v>96</v>
      </c>
      <c r="AN113">
        <v>48</v>
      </c>
      <c r="AO113">
        <v>96</v>
      </c>
      <c r="AP113">
        <v>10</v>
      </c>
      <c r="AU113">
        <v>111</v>
      </c>
      <c r="AV113">
        <v>5</v>
      </c>
      <c r="AW113">
        <v>5</v>
      </c>
      <c r="AX113">
        <v>5</v>
      </c>
      <c r="AY113">
        <v>7</v>
      </c>
      <c r="AZ113">
        <v>9</v>
      </c>
      <c r="BC113">
        <v>111</v>
      </c>
      <c r="BD113">
        <v>10</v>
      </c>
      <c r="BE113">
        <v>10</v>
      </c>
      <c r="BF113">
        <v>10</v>
      </c>
      <c r="BG113">
        <v>10</v>
      </c>
      <c r="BH113">
        <v>12</v>
      </c>
      <c r="BK113" s="32">
        <v>111</v>
      </c>
      <c r="BL113">
        <v>5</v>
      </c>
      <c r="BM113">
        <v>1</v>
      </c>
    </row>
    <row r="114" spans="1:65" x14ac:dyDescent="0.45">
      <c r="A114" s="33"/>
      <c r="B114" s="32">
        <v>4</v>
      </c>
      <c r="C114" s="32">
        <v>112</v>
      </c>
      <c r="D114" s="32">
        <v>60</v>
      </c>
      <c r="E114" s="32">
        <v>60</v>
      </c>
      <c r="F114" s="32"/>
      <c r="G114" s="32"/>
      <c r="H114" s="32"/>
      <c r="I114" s="32"/>
      <c r="J114" s="32"/>
      <c r="K114" s="32"/>
      <c r="L114" s="32"/>
      <c r="M114" s="39"/>
      <c r="N114" s="43">
        <f t="shared" si="2"/>
        <v>2</v>
      </c>
      <c r="O114" s="33"/>
      <c r="P114" s="32">
        <v>4</v>
      </c>
      <c r="Q114" s="32">
        <v>112</v>
      </c>
      <c r="R114" s="32">
        <v>120</v>
      </c>
      <c r="S114" s="32"/>
      <c r="T114" s="32"/>
      <c r="U114" s="32"/>
      <c r="V114" s="32"/>
      <c r="W114" s="32"/>
      <c r="X114">
        <f t="shared" si="3"/>
        <v>1</v>
      </c>
      <c r="AC114">
        <v>112</v>
      </c>
      <c r="AD114">
        <v>183</v>
      </c>
      <c r="AE114">
        <v>183</v>
      </c>
      <c r="AF114">
        <v>360</v>
      </c>
      <c r="AI114">
        <v>112</v>
      </c>
      <c r="AJ114">
        <v>48</v>
      </c>
      <c r="AK114">
        <v>96</v>
      </c>
      <c r="AL114">
        <v>48</v>
      </c>
      <c r="AM114">
        <v>96</v>
      </c>
      <c r="AN114">
        <v>48</v>
      </c>
      <c r="AO114">
        <v>96</v>
      </c>
      <c r="AP114">
        <v>10</v>
      </c>
      <c r="AU114">
        <v>112</v>
      </c>
      <c r="AV114">
        <v>5</v>
      </c>
      <c r="AW114">
        <v>5</v>
      </c>
      <c r="AX114">
        <v>5</v>
      </c>
      <c r="AY114">
        <v>7</v>
      </c>
      <c r="AZ114">
        <v>9</v>
      </c>
      <c r="BC114">
        <v>112</v>
      </c>
      <c r="BD114">
        <v>10</v>
      </c>
      <c r="BE114">
        <v>10</v>
      </c>
      <c r="BF114">
        <v>10</v>
      </c>
      <c r="BG114">
        <v>10</v>
      </c>
      <c r="BH114">
        <v>12</v>
      </c>
      <c r="BK114" s="32">
        <v>112</v>
      </c>
      <c r="BL114">
        <v>5</v>
      </c>
      <c r="BM114">
        <v>1</v>
      </c>
    </row>
    <row r="115" spans="1:65" x14ac:dyDescent="0.45">
      <c r="A115" s="33"/>
      <c r="B115" s="32">
        <v>5</v>
      </c>
      <c r="C115" s="32">
        <v>113</v>
      </c>
      <c r="D115" s="32">
        <v>60</v>
      </c>
      <c r="E115" s="32">
        <v>60</v>
      </c>
      <c r="F115" s="32"/>
      <c r="G115" s="32"/>
      <c r="H115" s="32"/>
      <c r="I115" s="32"/>
      <c r="J115" s="32"/>
      <c r="K115" s="32"/>
      <c r="L115" s="32"/>
      <c r="M115" s="39"/>
      <c r="N115" s="43">
        <f t="shared" si="2"/>
        <v>2</v>
      </c>
      <c r="O115" s="33"/>
      <c r="P115" s="32">
        <v>5</v>
      </c>
      <c r="Q115" s="32">
        <v>113</v>
      </c>
      <c r="R115" s="32">
        <v>120</v>
      </c>
      <c r="S115" s="32"/>
      <c r="T115" s="32"/>
      <c r="U115" s="32"/>
      <c r="V115" s="32"/>
      <c r="W115" s="32"/>
      <c r="X115">
        <f t="shared" si="3"/>
        <v>1</v>
      </c>
      <c r="AC115">
        <v>113</v>
      </c>
      <c r="AD115">
        <v>183</v>
      </c>
      <c r="AE115">
        <v>183</v>
      </c>
      <c r="AF115">
        <v>360</v>
      </c>
      <c r="AI115">
        <v>113</v>
      </c>
      <c r="AJ115">
        <v>48</v>
      </c>
      <c r="AK115">
        <v>96</v>
      </c>
      <c r="AL115">
        <v>48</v>
      </c>
      <c r="AM115">
        <v>96</v>
      </c>
      <c r="AN115">
        <v>48</v>
      </c>
      <c r="AO115">
        <v>96</v>
      </c>
      <c r="AP115">
        <v>10</v>
      </c>
      <c r="AU115">
        <v>113</v>
      </c>
      <c r="AV115">
        <v>5</v>
      </c>
      <c r="AW115">
        <v>5</v>
      </c>
      <c r="AX115">
        <v>5</v>
      </c>
      <c r="AY115">
        <v>7</v>
      </c>
      <c r="AZ115">
        <v>9</v>
      </c>
      <c r="BC115">
        <v>113</v>
      </c>
      <c r="BD115">
        <v>10</v>
      </c>
      <c r="BE115">
        <v>10</v>
      </c>
      <c r="BF115">
        <v>10</v>
      </c>
      <c r="BG115">
        <v>10</v>
      </c>
      <c r="BH115">
        <v>12</v>
      </c>
      <c r="BK115" s="32">
        <v>113</v>
      </c>
      <c r="BL115">
        <v>5</v>
      </c>
      <c r="BM115">
        <v>1</v>
      </c>
    </row>
    <row r="116" spans="1:65" x14ac:dyDescent="0.45">
      <c r="A116" s="33"/>
      <c r="B116" s="32">
        <v>6</v>
      </c>
      <c r="C116" s="32">
        <v>114</v>
      </c>
      <c r="D116" s="32">
        <v>60</v>
      </c>
      <c r="E116" s="32">
        <v>60</v>
      </c>
      <c r="F116" s="32"/>
      <c r="G116" s="32"/>
      <c r="H116" s="32"/>
      <c r="I116" s="32"/>
      <c r="J116" s="32"/>
      <c r="K116" s="32"/>
      <c r="L116" s="32"/>
      <c r="M116" s="39"/>
      <c r="N116" s="43">
        <f t="shared" si="2"/>
        <v>2</v>
      </c>
      <c r="O116" s="33"/>
      <c r="P116" s="32">
        <v>6</v>
      </c>
      <c r="Q116" s="32">
        <v>114</v>
      </c>
      <c r="R116" s="32">
        <v>120</v>
      </c>
      <c r="S116" s="32"/>
      <c r="T116" s="32"/>
      <c r="U116" s="32"/>
      <c r="V116" s="32"/>
      <c r="W116" s="32"/>
      <c r="X116">
        <f t="shared" si="3"/>
        <v>1</v>
      </c>
      <c r="AC116">
        <v>114</v>
      </c>
      <c r="AD116">
        <v>183</v>
      </c>
      <c r="AE116">
        <v>183</v>
      </c>
      <c r="AF116">
        <v>360</v>
      </c>
      <c r="AI116">
        <v>114</v>
      </c>
      <c r="AJ116">
        <v>48</v>
      </c>
      <c r="AK116">
        <v>96</v>
      </c>
      <c r="AL116">
        <v>48</v>
      </c>
      <c r="AM116">
        <v>96</v>
      </c>
      <c r="AN116">
        <v>48</v>
      </c>
      <c r="AO116">
        <v>96</v>
      </c>
      <c r="AP116">
        <v>10</v>
      </c>
      <c r="AU116">
        <v>114</v>
      </c>
      <c r="AV116">
        <v>5</v>
      </c>
      <c r="AW116">
        <v>5</v>
      </c>
      <c r="AX116">
        <v>5</v>
      </c>
      <c r="AY116">
        <v>7</v>
      </c>
      <c r="AZ116">
        <v>9</v>
      </c>
      <c r="BC116">
        <v>114</v>
      </c>
      <c r="BD116">
        <v>10</v>
      </c>
      <c r="BE116">
        <v>10</v>
      </c>
      <c r="BF116">
        <v>10</v>
      </c>
      <c r="BG116">
        <v>10</v>
      </c>
      <c r="BH116">
        <v>12</v>
      </c>
      <c r="BK116" s="32">
        <v>114</v>
      </c>
      <c r="BL116">
        <v>5</v>
      </c>
      <c r="BM116">
        <v>1</v>
      </c>
    </row>
    <row r="117" spans="1:65" x14ac:dyDescent="0.45">
      <c r="A117" s="33"/>
      <c r="B117" s="32">
        <v>7</v>
      </c>
      <c r="C117" s="32">
        <v>115</v>
      </c>
      <c r="D117" s="32">
        <v>60</v>
      </c>
      <c r="E117" s="32">
        <v>60</v>
      </c>
      <c r="F117" s="32"/>
      <c r="G117" s="32"/>
      <c r="H117" s="32"/>
      <c r="I117" s="32"/>
      <c r="J117" s="32"/>
      <c r="K117" s="32"/>
      <c r="L117" s="32"/>
      <c r="M117" s="39"/>
      <c r="N117" s="43">
        <f t="shared" si="2"/>
        <v>2</v>
      </c>
      <c r="O117" s="33"/>
      <c r="P117" s="32">
        <v>7</v>
      </c>
      <c r="Q117" s="32">
        <v>115</v>
      </c>
      <c r="R117" s="32">
        <v>120</v>
      </c>
      <c r="S117" s="32"/>
      <c r="T117" s="32"/>
      <c r="U117" s="32"/>
      <c r="V117" s="32"/>
      <c r="W117" s="32"/>
      <c r="X117">
        <f t="shared" si="3"/>
        <v>1</v>
      </c>
      <c r="AC117">
        <v>115</v>
      </c>
      <c r="AD117">
        <v>192</v>
      </c>
      <c r="AE117">
        <v>192</v>
      </c>
      <c r="AF117">
        <v>480</v>
      </c>
      <c r="AI117">
        <v>115</v>
      </c>
      <c r="AJ117">
        <v>48</v>
      </c>
      <c r="AK117">
        <v>96</v>
      </c>
      <c r="AL117">
        <v>48</v>
      </c>
      <c r="AM117">
        <v>96</v>
      </c>
      <c r="AN117">
        <v>48</v>
      </c>
      <c r="AO117">
        <v>96</v>
      </c>
      <c r="AP117">
        <v>10</v>
      </c>
      <c r="AU117">
        <v>115</v>
      </c>
      <c r="AV117">
        <v>5</v>
      </c>
      <c r="AW117">
        <v>5</v>
      </c>
      <c r="AX117">
        <v>5</v>
      </c>
      <c r="AY117">
        <v>7</v>
      </c>
      <c r="AZ117">
        <v>9</v>
      </c>
      <c r="BC117">
        <v>115</v>
      </c>
      <c r="BD117">
        <v>10</v>
      </c>
      <c r="BE117">
        <v>10</v>
      </c>
      <c r="BF117">
        <v>10</v>
      </c>
      <c r="BG117">
        <v>10</v>
      </c>
      <c r="BH117">
        <v>12</v>
      </c>
      <c r="BK117" s="32">
        <v>115</v>
      </c>
      <c r="BL117">
        <v>5</v>
      </c>
      <c r="BM117">
        <v>1</v>
      </c>
    </row>
    <row r="118" spans="1:65" x14ac:dyDescent="0.45">
      <c r="A118" s="33"/>
      <c r="B118" s="32">
        <v>8</v>
      </c>
      <c r="C118" s="32">
        <v>116</v>
      </c>
      <c r="D118" s="32">
        <v>60</v>
      </c>
      <c r="E118" s="32">
        <v>60</v>
      </c>
      <c r="F118" s="32"/>
      <c r="G118" s="32"/>
      <c r="H118" s="32"/>
      <c r="I118" s="32"/>
      <c r="J118" s="32"/>
      <c r="K118" s="32"/>
      <c r="L118" s="32"/>
      <c r="M118" s="39"/>
      <c r="N118" s="43">
        <f t="shared" si="2"/>
        <v>2</v>
      </c>
      <c r="O118" s="33"/>
      <c r="P118" s="32">
        <v>8</v>
      </c>
      <c r="Q118" s="32">
        <v>116</v>
      </c>
      <c r="R118" s="32">
        <v>120</v>
      </c>
      <c r="S118" s="32"/>
      <c r="T118" s="32"/>
      <c r="U118" s="32"/>
      <c r="V118" s="32"/>
      <c r="W118" s="32"/>
      <c r="X118">
        <f t="shared" si="3"/>
        <v>1</v>
      </c>
      <c r="AC118">
        <v>116</v>
      </c>
      <c r="AD118">
        <v>192</v>
      </c>
      <c r="AE118">
        <v>192</v>
      </c>
      <c r="AF118">
        <v>480</v>
      </c>
      <c r="AI118">
        <v>116</v>
      </c>
      <c r="AJ118">
        <v>48</v>
      </c>
      <c r="AK118">
        <v>96</v>
      </c>
      <c r="AL118">
        <v>48</v>
      </c>
      <c r="AM118">
        <v>96</v>
      </c>
      <c r="AN118">
        <v>48</v>
      </c>
      <c r="AO118">
        <v>96</v>
      </c>
      <c r="AP118">
        <v>10</v>
      </c>
      <c r="AU118">
        <v>116</v>
      </c>
      <c r="AV118">
        <v>5</v>
      </c>
      <c r="AW118">
        <v>5</v>
      </c>
      <c r="AX118">
        <v>5</v>
      </c>
      <c r="AY118">
        <v>7</v>
      </c>
      <c r="AZ118">
        <v>9</v>
      </c>
      <c r="BC118">
        <v>116</v>
      </c>
      <c r="BD118">
        <v>10</v>
      </c>
      <c r="BE118">
        <v>10</v>
      </c>
      <c r="BF118">
        <v>10</v>
      </c>
      <c r="BG118">
        <v>10</v>
      </c>
      <c r="BH118">
        <v>12</v>
      </c>
      <c r="BK118" s="32">
        <v>116</v>
      </c>
      <c r="BL118">
        <v>5</v>
      </c>
      <c r="BM118">
        <v>1</v>
      </c>
    </row>
    <row r="119" spans="1:65" x14ac:dyDescent="0.45">
      <c r="A119" s="33"/>
      <c r="B119" s="32">
        <v>9</v>
      </c>
      <c r="C119" s="32">
        <v>117</v>
      </c>
      <c r="D119" s="32">
        <v>60</v>
      </c>
      <c r="E119" s="32">
        <v>60</v>
      </c>
      <c r="F119" s="32"/>
      <c r="G119" s="32"/>
      <c r="H119" s="32"/>
      <c r="I119" s="32"/>
      <c r="J119" s="32"/>
      <c r="K119" s="32"/>
      <c r="L119" s="32"/>
      <c r="M119" s="39"/>
      <c r="N119" s="43">
        <f t="shared" si="2"/>
        <v>2</v>
      </c>
      <c r="O119" s="33"/>
      <c r="P119" s="32">
        <v>9</v>
      </c>
      <c r="Q119" s="32">
        <v>117</v>
      </c>
      <c r="R119" s="32">
        <v>120</v>
      </c>
      <c r="S119" s="32"/>
      <c r="T119" s="32"/>
      <c r="U119" s="32"/>
      <c r="V119" s="32"/>
      <c r="W119" s="32"/>
      <c r="X119">
        <f t="shared" si="3"/>
        <v>1</v>
      </c>
      <c r="AC119">
        <v>117</v>
      </c>
      <c r="AD119">
        <v>192</v>
      </c>
      <c r="AE119">
        <v>192</v>
      </c>
      <c r="AF119">
        <v>480</v>
      </c>
      <c r="AI119">
        <v>117</v>
      </c>
      <c r="AJ119">
        <v>48</v>
      </c>
      <c r="AK119">
        <v>96</v>
      </c>
      <c r="AL119">
        <v>48</v>
      </c>
      <c r="AM119">
        <v>96</v>
      </c>
      <c r="AN119">
        <v>48</v>
      </c>
      <c r="AO119">
        <v>96</v>
      </c>
      <c r="AP119">
        <v>10</v>
      </c>
      <c r="AU119">
        <v>117</v>
      </c>
      <c r="AV119">
        <v>5</v>
      </c>
      <c r="AW119">
        <v>5</v>
      </c>
      <c r="AX119">
        <v>5</v>
      </c>
      <c r="AY119">
        <v>7</v>
      </c>
      <c r="AZ119">
        <v>9</v>
      </c>
      <c r="BC119">
        <v>117</v>
      </c>
      <c r="BD119">
        <v>10</v>
      </c>
      <c r="BE119">
        <v>10</v>
      </c>
      <c r="BF119">
        <v>10</v>
      </c>
      <c r="BG119">
        <v>10</v>
      </c>
      <c r="BH119">
        <v>12</v>
      </c>
      <c r="BK119" s="32">
        <v>117</v>
      </c>
      <c r="BL119">
        <v>5</v>
      </c>
      <c r="BM119">
        <v>1</v>
      </c>
    </row>
    <row r="120" spans="1:65" x14ac:dyDescent="0.45">
      <c r="A120" s="33"/>
      <c r="B120" s="32">
        <v>10</v>
      </c>
      <c r="C120" s="32">
        <v>118</v>
      </c>
      <c r="D120" s="32">
        <v>60</v>
      </c>
      <c r="E120" s="32">
        <v>60</v>
      </c>
      <c r="F120" s="32"/>
      <c r="G120" s="32"/>
      <c r="H120" s="32"/>
      <c r="I120" s="32"/>
      <c r="J120" s="32"/>
      <c r="K120" s="32"/>
      <c r="L120" s="32"/>
      <c r="M120" s="39"/>
      <c r="N120" s="43">
        <f t="shared" si="2"/>
        <v>2</v>
      </c>
      <c r="O120" s="33"/>
      <c r="P120" s="32">
        <v>10</v>
      </c>
      <c r="Q120" s="32">
        <v>118</v>
      </c>
      <c r="R120" s="32">
        <v>120</v>
      </c>
      <c r="S120" s="32"/>
      <c r="T120" s="32"/>
      <c r="U120" s="32"/>
      <c r="V120" s="32"/>
      <c r="W120" s="32"/>
      <c r="X120">
        <f t="shared" si="3"/>
        <v>1</v>
      </c>
      <c r="AC120">
        <v>118</v>
      </c>
      <c r="AD120">
        <v>192</v>
      </c>
      <c r="AE120">
        <v>192</v>
      </c>
      <c r="AF120">
        <v>480</v>
      </c>
      <c r="AI120">
        <v>118</v>
      </c>
      <c r="AJ120">
        <v>48</v>
      </c>
      <c r="AK120">
        <v>96</v>
      </c>
      <c r="AL120">
        <v>48</v>
      </c>
      <c r="AM120">
        <v>96</v>
      </c>
      <c r="AN120">
        <v>48</v>
      </c>
      <c r="AO120">
        <v>96</v>
      </c>
      <c r="AP120">
        <v>10</v>
      </c>
      <c r="AU120">
        <v>118</v>
      </c>
      <c r="AV120">
        <v>5</v>
      </c>
      <c r="AW120">
        <v>5</v>
      </c>
      <c r="AX120">
        <v>5</v>
      </c>
      <c r="AY120">
        <v>7</v>
      </c>
      <c r="AZ120">
        <v>9</v>
      </c>
      <c r="BC120">
        <v>118</v>
      </c>
      <c r="BD120">
        <v>10</v>
      </c>
      <c r="BE120">
        <v>10</v>
      </c>
      <c r="BF120">
        <v>10</v>
      </c>
      <c r="BG120">
        <v>10</v>
      </c>
      <c r="BH120">
        <v>12</v>
      </c>
      <c r="BK120" s="32">
        <v>118</v>
      </c>
      <c r="BL120">
        <v>5</v>
      </c>
      <c r="BM120">
        <v>1</v>
      </c>
    </row>
    <row r="121" spans="1:65" x14ac:dyDescent="0.45">
      <c r="A121" s="33"/>
      <c r="B121" s="32">
        <v>11</v>
      </c>
      <c r="C121" s="32">
        <v>119</v>
      </c>
      <c r="D121" s="32">
        <v>60</v>
      </c>
      <c r="E121" s="32">
        <v>60</v>
      </c>
      <c r="F121" s="32"/>
      <c r="G121" s="32"/>
      <c r="H121" s="32"/>
      <c r="I121" s="32"/>
      <c r="J121" s="32"/>
      <c r="K121" s="32"/>
      <c r="L121" s="32"/>
      <c r="M121" s="39"/>
      <c r="N121" s="43">
        <f t="shared" si="2"/>
        <v>2</v>
      </c>
      <c r="O121" s="33"/>
      <c r="P121" s="32">
        <v>11</v>
      </c>
      <c r="Q121" s="32">
        <v>119</v>
      </c>
      <c r="R121" s="32">
        <v>120</v>
      </c>
      <c r="S121" s="32"/>
      <c r="T121" s="32"/>
      <c r="U121" s="32"/>
      <c r="V121" s="32"/>
      <c r="W121" s="32"/>
      <c r="X121">
        <f t="shared" si="3"/>
        <v>1</v>
      </c>
      <c r="AC121">
        <v>119</v>
      </c>
      <c r="AD121">
        <v>192</v>
      </c>
      <c r="AE121">
        <v>192</v>
      </c>
      <c r="AF121">
        <v>480</v>
      </c>
      <c r="AI121">
        <v>119</v>
      </c>
      <c r="AJ121">
        <v>48</v>
      </c>
      <c r="AK121">
        <v>96</v>
      </c>
      <c r="AL121">
        <v>48</v>
      </c>
      <c r="AM121">
        <v>96</v>
      </c>
      <c r="AN121">
        <v>48</v>
      </c>
      <c r="AO121">
        <v>96</v>
      </c>
      <c r="AP121">
        <v>10</v>
      </c>
      <c r="AU121">
        <v>119</v>
      </c>
      <c r="AV121">
        <v>5</v>
      </c>
      <c r="AW121">
        <v>5</v>
      </c>
      <c r="AX121">
        <v>5</v>
      </c>
      <c r="AY121">
        <v>7</v>
      </c>
      <c r="AZ121">
        <v>9</v>
      </c>
      <c r="BC121">
        <v>119</v>
      </c>
      <c r="BD121">
        <v>10</v>
      </c>
      <c r="BE121">
        <v>10</v>
      </c>
      <c r="BF121">
        <v>10</v>
      </c>
      <c r="BG121">
        <v>10</v>
      </c>
      <c r="BH121">
        <v>12</v>
      </c>
      <c r="BK121" s="32">
        <v>119</v>
      </c>
      <c r="BL121">
        <v>5</v>
      </c>
      <c r="BM121">
        <v>1</v>
      </c>
    </row>
    <row r="122" spans="1:65" x14ac:dyDescent="0.45">
      <c r="A122" s="33">
        <v>10</v>
      </c>
      <c r="B122" s="32"/>
      <c r="C122" s="32">
        <v>120</v>
      </c>
      <c r="D122" s="32">
        <v>60</v>
      </c>
      <c r="E122" s="32">
        <v>60</v>
      </c>
      <c r="F122" s="32"/>
      <c r="G122" s="32"/>
      <c r="H122" s="32"/>
      <c r="I122" s="32"/>
      <c r="J122" s="32"/>
      <c r="K122" s="32"/>
      <c r="L122" s="32"/>
      <c r="M122" s="39"/>
      <c r="N122" s="43">
        <f t="shared" si="2"/>
        <v>2</v>
      </c>
      <c r="O122" s="33">
        <v>10</v>
      </c>
      <c r="P122" s="32"/>
      <c r="Q122" s="32">
        <v>120</v>
      </c>
      <c r="R122" s="32">
        <v>120</v>
      </c>
      <c r="S122" s="32"/>
      <c r="T122" s="32"/>
      <c r="U122" s="32"/>
      <c r="V122" s="32"/>
      <c r="W122" s="32"/>
      <c r="X122">
        <f t="shared" si="3"/>
        <v>1</v>
      </c>
      <c r="AC122">
        <v>120</v>
      </c>
      <c r="AD122">
        <v>192</v>
      </c>
      <c r="AE122">
        <v>192</v>
      </c>
      <c r="AF122">
        <v>480</v>
      </c>
      <c r="AI122">
        <v>120</v>
      </c>
      <c r="AJ122">
        <v>48</v>
      </c>
      <c r="AK122">
        <v>96</v>
      </c>
      <c r="AL122">
        <v>48</v>
      </c>
      <c r="AM122">
        <v>96</v>
      </c>
      <c r="AN122">
        <v>48</v>
      </c>
      <c r="AO122">
        <v>96</v>
      </c>
      <c r="AP122">
        <v>10</v>
      </c>
      <c r="AU122">
        <v>120</v>
      </c>
      <c r="AV122">
        <v>5</v>
      </c>
      <c r="AW122">
        <v>5</v>
      </c>
      <c r="AX122">
        <v>5</v>
      </c>
      <c r="AY122">
        <v>7</v>
      </c>
      <c r="AZ122">
        <v>9</v>
      </c>
      <c r="BC122">
        <v>120</v>
      </c>
      <c r="BD122">
        <v>10</v>
      </c>
      <c r="BE122">
        <v>10</v>
      </c>
      <c r="BF122">
        <v>10</v>
      </c>
      <c r="BG122">
        <v>10</v>
      </c>
      <c r="BH122">
        <v>12</v>
      </c>
      <c r="BK122" s="32">
        <v>120</v>
      </c>
      <c r="BL122">
        <v>5</v>
      </c>
      <c r="BM122">
        <v>1.5</v>
      </c>
    </row>
    <row r="123" spans="1:65" x14ac:dyDescent="0.45">
      <c r="A123" s="33"/>
      <c r="B123" s="32">
        <v>1</v>
      </c>
      <c r="C123" s="32">
        <v>121</v>
      </c>
      <c r="D123" s="32">
        <v>48</v>
      </c>
      <c r="E123" s="32">
        <v>48</v>
      </c>
      <c r="F123" s="32">
        <v>48</v>
      </c>
      <c r="G123" s="32"/>
      <c r="H123" s="32"/>
      <c r="I123" s="32"/>
      <c r="J123" s="32"/>
      <c r="K123" s="32"/>
      <c r="L123" s="32"/>
      <c r="M123" s="39"/>
      <c r="N123" s="43">
        <f t="shared" si="2"/>
        <v>3</v>
      </c>
      <c r="O123" s="33"/>
      <c r="P123" s="32">
        <v>1</v>
      </c>
      <c r="Q123" s="32">
        <v>121</v>
      </c>
      <c r="R123" s="32">
        <v>96</v>
      </c>
      <c r="S123" s="32">
        <v>48</v>
      </c>
      <c r="T123" s="32"/>
      <c r="U123" s="32"/>
      <c r="V123" s="32"/>
      <c r="W123" s="32"/>
      <c r="X123">
        <f t="shared" si="3"/>
        <v>2</v>
      </c>
      <c r="AC123">
        <v>121</v>
      </c>
      <c r="AD123">
        <v>201</v>
      </c>
      <c r="AE123">
        <v>201</v>
      </c>
      <c r="AF123">
        <v>480</v>
      </c>
      <c r="AI123">
        <v>121</v>
      </c>
      <c r="AJ123">
        <v>48</v>
      </c>
      <c r="AK123">
        <v>96</v>
      </c>
      <c r="AL123">
        <v>48</v>
      </c>
      <c r="AM123">
        <v>96</v>
      </c>
      <c r="AN123">
        <v>48</v>
      </c>
      <c r="AO123">
        <v>96</v>
      </c>
      <c r="AP123">
        <v>10</v>
      </c>
      <c r="AU123">
        <v>121</v>
      </c>
      <c r="AV123">
        <v>5</v>
      </c>
      <c r="AW123">
        <v>5</v>
      </c>
      <c r="AX123">
        <v>5</v>
      </c>
      <c r="AY123">
        <v>7</v>
      </c>
      <c r="AZ123">
        <v>9</v>
      </c>
      <c r="BC123">
        <v>121</v>
      </c>
      <c r="BD123">
        <v>10</v>
      </c>
      <c r="BE123">
        <v>10</v>
      </c>
      <c r="BF123">
        <v>10</v>
      </c>
      <c r="BG123">
        <v>10</v>
      </c>
      <c r="BH123">
        <v>12</v>
      </c>
      <c r="BK123" s="32">
        <v>121</v>
      </c>
      <c r="BL123">
        <v>10</v>
      </c>
      <c r="BM123">
        <v>1.5</v>
      </c>
    </row>
    <row r="124" spans="1:65" x14ac:dyDescent="0.45">
      <c r="A124" s="33"/>
      <c r="B124" s="32">
        <v>2</v>
      </c>
      <c r="C124" s="32">
        <v>122</v>
      </c>
      <c r="D124" s="32">
        <v>48</v>
      </c>
      <c r="E124" s="32">
        <v>48</v>
      </c>
      <c r="F124" s="32">
        <v>48</v>
      </c>
      <c r="G124" s="32"/>
      <c r="H124" s="32"/>
      <c r="I124" s="32"/>
      <c r="J124" s="32"/>
      <c r="K124" s="32"/>
      <c r="L124" s="32"/>
      <c r="M124" s="39"/>
      <c r="N124" s="43">
        <f t="shared" si="2"/>
        <v>3</v>
      </c>
      <c r="O124" s="33"/>
      <c r="P124" s="32">
        <v>2</v>
      </c>
      <c r="Q124" s="32">
        <v>122</v>
      </c>
      <c r="R124" s="32">
        <v>96</v>
      </c>
      <c r="S124" s="32">
        <v>48</v>
      </c>
      <c r="T124" s="32"/>
      <c r="U124" s="32"/>
      <c r="V124" s="32"/>
      <c r="W124" s="32"/>
      <c r="X124">
        <f t="shared" si="3"/>
        <v>2</v>
      </c>
      <c r="AC124">
        <v>122</v>
      </c>
      <c r="AD124">
        <v>201</v>
      </c>
      <c r="AE124">
        <v>201</v>
      </c>
      <c r="AF124">
        <v>480</v>
      </c>
      <c r="AI124">
        <v>122</v>
      </c>
      <c r="AJ124">
        <v>48</v>
      </c>
      <c r="AK124">
        <v>96</v>
      </c>
      <c r="AL124">
        <v>48</v>
      </c>
      <c r="AM124">
        <v>96</v>
      </c>
      <c r="AN124">
        <v>48</v>
      </c>
      <c r="AO124">
        <v>96</v>
      </c>
      <c r="AP124">
        <v>10</v>
      </c>
      <c r="AU124">
        <v>122</v>
      </c>
      <c r="AV124">
        <v>5</v>
      </c>
      <c r="AW124">
        <v>5</v>
      </c>
      <c r="AX124">
        <v>5</v>
      </c>
      <c r="AY124">
        <v>7</v>
      </c>
      <c r="AZ124">
        <v>9</v>
      </c>
      <c r="BC124">
        <v>122</v>
      </c>
      <c r="BD124">
        <v>10</v>
      </c>
      <c r="BE124">
        <v>10</v>
      </c>
      <c r="BF124">
        <v>10</v>
      </c>
      <c r="BG124">
        <v>10</v>
      </c>
      <c r="BH124">
        <v>12</v>
      </c>
      <c r="BK124" s="32">
        <v>122</v>
      </c>
      <c r="BL124">
        <v>10</v>
      </c>
      <c r="BM124">
        <v>1.5</v>
      </c>
    </row>
    <row r="125" spans="1:65" x14ac:dyDescent="0.45">
      <c r="A125" s="33"/>
      <c r="B125" s="32">
        <v>3</v>
      </c>
      <c r="C125" s="32">
        <v>123</v>
      </c>
      <c r="D125" s="32">
        <v>48</v>
      </c>
      <c r="E125" s="32">
        <v>48</v>
      </c>
      <c r="F125" s="32">
        <v>48</v>
      </c>
      <c r="G125" s="32"/>
      <c r="H125" s="32"/>
      <c r="I125" s="32"/>
      <c r="J125" s="32"/>
      <c r="K125" s="32"/>
      <c r="L125" s="32"/>
      <c r="M125" s="39"/>
      <c r="N125" s="43">
        <f t="shared" si="2"/>
        <v>3</v>
      </c>
      <c r="O125" s="33"/>
      <c r="P125" s="32">
        <v>3</v>
      </c>
      <c r="Q125" s="32">
        <v>123</v>
      </c>
      <c r="R125" s="32">
        <v>96</v>
      </c>
      <c r="S125" s="32">
        <v>48</v>
      </c>
      <c r="T125" s="32"/>
      <c r="U125" s="32"/>
      <c r="V125" s="32"/>
      <c r="W125" s="32"/>
      <c r="X125">
        <f t="shared" si="3"/>
        <v>2</v>
      </c>
      <c r="AC125">
        <v>123</v>
      </c>
      <c r="AD125">
        <v>201</v>
      </c>
      <c r="AE125">
        <v>201</v>
      </c>
      <c r="AF125">
        <v>480</v>
      </c>
      <c r="AI125">
        <v>123</v>
      </c>
      <c r="AJ125">
        <v>48</v>
      </c>
      <c r="AK125">
        <v>96</v>
      </c>
      <c r="AL125">
        <v>48</v>
      </c>
      <c r="AM125">
        <v>96</v>
      </c>
      <c r="AN125">
        <v>48</v>
      </c>
      <c r="AO125">
        <v>96</v>
      </c>
      <c r="AP125">
        <v>10</v>
      </c>
      <c r="AU125">
        <v>123</v>
      </c>
      <c r="AV125">
        <v>5</v>
      </c>
      <c r="AW125">
        <v>5</v>
      </c>
      <c r="AX125">
        <v>5</v>
      </c>
      <c r="AY125">
        <v>7</v>
      </c>
      <c r="AZ125">
        <v>9</v>
      </c>
      <c r="BC125">
        <v>123</v>
      </c>
      <c r="BD125">
        <v>10</v>
      </c>
      <c r="BE125">
        <v>10</v>
      </c>
      <c r="BF125">
        <v>10</v>
      </c>
      <c r="BG125">
        <v>10</v>
      </c>
      <c r="BH125">
        <v>12</v>
      </c>
      <c r="BK125" s="32">
        <v>123</v>
      </c>
      <c r="BL125">
        <v>10</v>
      </c>
      <c r="BM125">
        <v>1.5</v>
      </c>
    </row>
    <row r="126" spans="1:65" x14ac:dyDescent="0.45">
      <c r="A126" s="33"/>
      <c r="B126" s="32">
        <v>4</v>
      </c>
      <c r="C126" s="32">
        <v>124</v>
      </c>
      <c r="D126" s="32">
        <v>48</v>
      </c>
      <c r="E126" s="32">
        <v>48</v>
      </c>
      <c r="F126" s="32">
        <v>48</v>
      </c>
      <c r="G126" s="32"/>
      <c r="H126" s="32"/>
      <c r="I126" s="32"/>
      <c r="J126" s="32"/>
      <c r="K126" s="32"/>
      <c r="L126" s="32"/>
      <c r="M126" s="39"/>
      <c r="N126" s="43">
        <f t="shared" si="2"/>
        <v>3</v>
      </c>
      <c r="O126" s="33"/>
      <c r="P126" s="32">
        <v>4</v>
      </c>
      <c r="Q126" s="32">
        <v>124</v>
      </c>
      <c r="R126" s="32">
        <v>96</v>
      </c>
      <c r="S126" s="32">
        <v>48</v>
      </c>
      <c r="T126" s="32"/>
      <c r="U126" s="32"/>
      <c r="V126" s="32"/>
      <c r="W126" s="32"/>
      <c r="X126">
        <f t="shared" si="3"/>
        <v>2</v>
      </c>
      <c r="AC126">
        <v>124</v>
      </c>
      <c r="AD126">
        <v>201</v>
      </c>
      <c r="AE126">
        <v>201</v>
      </c>
      <c r="AF126">
        <v>480</v>
      </c>
      <c r="AI126">
        <v>124</v>
      </c>
      <c r="AJ126">
        <v>48</v>
      </c>
      <c r="AK126">
        <v>96</v>
      </c>
      <c r="AL126">
        <v>48</v>
      </c>
      <c r="AM126">
        <v>96</v>
      </c>
      <c r="AN126">
        <v>48</v>
      </c>
      <c r="AO126">
        <v>96</v>
      </c>
      <c r="AP126">
        <v>10</v>
      </c>
      <c r="AU126">
        <v>124</v>
      </c>
      <c r="AV126">
        <v>5</v>
      </c>
      <c r="AW126">
        <v>5</v>
      </c>
      <c r="AX126">
        <v>5</v>
      </c>
      <c r="AY126">
        <v>7</v>
      </c>
      <c r="AZ126">
        <v>9</v>
      </c>
      <c r="BC126">
        <v>124</v>
      </c>
      <c r="BD126">
        <v>10</v>
      </c>
      <c r="BE126">
        <v>10</v>
      </c>
      <c r="BF126">
        <v>10</v>
      </c>
      <c r="BG126">
        <v>10</v>
      </c>
      <c r="BH126">
        <v>12</v>
      </c>
      <c r="BK126" s="32">
        <v>124</v>
      </c>
      <c r="BL126">
        <v>10</v>
      </c>
      <c r="BM126">
        <v>1.5</v>
      </c>
    </row>
    <row r="127" spans="1:65" x14ac:dyDescent="0.45">
      <c r="A127" s="33"/>
      <c r="B127" s="32">
        <v>5</v>
      </c>
      <c r="C127" s="32">
        <v>125</v>
      </c>
      <c r="D127" s="32">
        <v>48</v>
      </c>
      <c r="E127" s="32">
        <v>48</v>
      </c>
      <c r="F127" s="32">
        <v>48</v>
      </c>
      <c r="G127" s="32"/>
      <c r="H127" s="32"/>
      <c r="I127" s="32"/>
      <c r="J127" s="32"/>
      <c r="K127" s="32"/>
      <c r="L127" s="32"/>
      <c r="M127" s="39"/>
      <c r="N127" s="43">
        <f t="shared" si="2"/>
        <v>3</v>
      </c>
      <c r="O127" s="33"/>
      <c r="P127" s="32">
        <v>5</v>
      </c>
      <c r="Q127" s="32">
        <v>125</v>
      </c>
      <c r="R127" s="32">
        <v>96</v>
      </c>
      <c r="S127" s="32">
        <v>48</v>
      </c>
      <c r="T127" s="32"/>
      <c r="U127" s="32"/>
      <c r="V127" s="32"/>
      <c r="W127" s="32"/>
      <c r="X127">
        <f t="shared" si="3"/>
        <v>2</v>
      </c>
      <c r="AC127">
        <v>125</v>
      </c>
      <c r="AD127">
        <v>201</v>
      </c>
      <c r="AE127">
        <v>201</v>
      </c>
      <c r="AF127">
        <v>480</v>
      </c>
      <c r="AI127">
        <v>125</v>
      </c>
      <c r="AJ127">
        <v>48</v>
      </c>
      <c r="AK127">
        <v>96</v>
      </c>
      <c r="AL127">
        <v>48</v>
      </c>
      <c r="AM127">
        <v>96</v>
      </c>
      <c r="AN127">
        <v>48</v>
      </c>
      <c r="AO127">
        <v>96</v>
      </c>
      <c r="AP127">
        <v>10</v>
      </c>
      <c r="AU127">
        <v>125</v>
      </c>
      <c r="AV127">
        <v>5</v>
      </c>
      <c r="AW127">
        <v>5</v>
      </c>
      <c r="AX127">
        <v>5</v>
      </c>
      <c r="AY127">
        <v>7</v>
      </c>
      <c r="AZ127">
        <v>9</v>
      </c>
      <c r="BC127">
        <v>125</v>
      </c>
      <c r="BD127">
        <v>10</v>
      </c>
      <c r="BE127">
        <v>10</v>
      </c>
      <c r="BF127">
        <v>10</v>
      </c>
      <c r="BG127">
        <v>10</v>
      </c>
      <c r="BH127">
        <v>12</v>
      </c>
      <c r="BK127" s="32">
        <v>125</v>
      </c>
      <c r="BL127">
        <v>10</v>
      </c>
      <c r="BM127">
        <v>1.5</v>
      </c>
    </row>
    <row r="128" spans="1:65" x14ac:dyDescent="0.45">
      <c r="A128" s="33"/>
      <c r="B128" s="32">
        <v>6</v>
      </c>
      <c r="C128" s="32">
        <v>126</v>
      </c>
      <c r="D128" s="32">
        <v>48</v>
      </c>
      <c r="E128" s="32">
        <v>48</v>
      </c>
      <c r="F128" s="32">
        <v>48</v>
      </c>
      <c r="G128" s="32"/>
      <c r="H128" s="32"/>
      <c r="I128" s="32"/>
      <c r="J128" s="32"/>
      <c r="K128" s="32"/>
      <c r="L128" s="32"/>
      <c r="M128" s="39"/>
      <c r="N128" s="43">
        <f t="shared" si="2"/>
        <v>3</v>
      </c>
      <c r="O128" s="33"/>
      <c r="P128" s="32">
        <v>6</v>
      </c>
      <c r="Q128" s="32">
        <v>126</v>
      </c>
      <c r="R128" s="32">
        <v>96</v>
      </c>
      <c r="S128" s="32">
        <v>48</v>
      </c>
      <c r="T128" s="32"/>
      <c r="U128" s="32"/>
      <c r="V128" s="32"/>
      <c r="W128" s="32"/>
      <c r="X128">
        <f t="shared" si="3"/>
        <v>2</v>
      </c>
      <c r="AC128">
        <v>126</v>
      </c>
      <c r="AD128">
        <v>201</v>
      </c>
      <c r="AE128">
        <v>201</v>
      </c>
      <c r="AF128">
        <v>480</v>
      </c>
      <c r="AI128">
        <v>126</v>
      </c>
      <c r="AJ128">
        <v>48</v>
      </c>
      <c r="AK128">
        <v>96</v>
      </c>
      <c r="AL128">
        <v>48</v>
      </c>
      <c r="AM128">
        <v>96</v>
      </c>
      <c r="AN128">
        <v>48</v>
      </c>
      <c r="AO128">
        <v>96</v>
      </c>
      <c r="AP128">
        <v>10</v>
      </c>
      <c r="AU128">
        <v>126</v>
      </c>
      <c r="AV128">
        <v>5</v>
      </c>
      <c r="AW128">
        <v>5</v>
      </c>
      <c r="AX128">
        <v>5</v>
      </c>
      <c r="AY128">
        <v>7</v>
      </c>
      <c r="AZ128">
        <v>9</v>
      </c>
      <c r="BC128">
        <v>126</v>
      </c>
      <c r="BD128">
        <v>10</v>
      </c>
      <c r="BE128">
        <v>10</v>
      </c>
      <c r="BF128">
        <v>10</v>
      </c>
      <c r="BG128">
        <v>10</v>
      </c>
      <c r="BH128">
        <v>12</v>
      </c>
      <c r="BK128" s="32">
        <v>126</v>
      </c>
      <c r="BL128">
        <v>10</v>
      </c>
      <c r="BM128">
        <v>1.5</v>
      </c>
    </row>
    <row r="129" spans="1:65" x14ac:dyDescent="0.45">
      <c r="A129" s="33"/>
      <c r="B129" s="32">
        <v>7</v>
      </c>
      <c r="C129" s="32">
        <v>127</v>
      </c>
      <c r="D129" s="32">
        <v>48</v>
      </c>
      <c r="E129" s="32">
        <v>48</v>
      </c>
      <c r="F129" s="32">
        <v>48</v>
      </c>
      <c r="G129" s="32"/>
      <c r="H129" s="32"/>
      <c r="I129" s="32"/>
      <c r="J129" s="32"/>
      <c r="K129" s="32"/>
      <c r="L129" s="32"/>
      <c r="M129" s="39"/>
      <c r="N129" s="43">
        <f t="shared" si="2"/>
        <v>3</v>
      </c>
      <c r="O129" s="33"/>
      <c r="P129" s="32">
        <v>7</v>
      </c>
      <c r="Q129" s="32">
        <v>127</v>
      </c>
      <c r="R129" s="32">
        <v>96</v>
      </c>
      <c r="S129" s="32">
        <v>48</v>
      </c>
      <c r="T129" s="32"/>
      <c r="U129" s="32"/>
      <c r="V129" s="32"/>
      <c r="W129" s="32"/>
      <c r="X129">
        <f t="shared" si="3"/>
        <v>2</v>
      </c>
      <c r="AC129">
        <v>127</v>
      </c>
      <c r="AD129">
        <v>211</v>
      </c>
      <c r="AE129">
        <v>211</v>
      </c>
      <c r="AF129">
        <v>480</v>
      </c>
      <c r="AI129">
        <v>127</v>
      </c>
      <c r="AJ129">
        <v>48</v>
      </c>
      <c r="AK129">
        <v>96</v>
      </c>
      <c r="AL129">
        <v>48</v>
      </c>
      <c r="AM129">
        <v>96</v>
      </c>
      <c r="AN129">
        <v>48</v>
      </c>
      <c r="AO129">
        <v>120</v>
      </c>
      <c r="AP129">
        <v>10</v>
      </c>
      <c r="AU129">
        <v>127</v>
      </c>
      <c r="AV129">
        <v>5</v>
      </c>
      <c r="AW129">
        <v>5</v>
      </c>
      <c r="AX129">
        <v>5</v>
      </c>
      <c r="AY129">
        <v>7</v>
      </c>
      <c r="AZ129">
        <v>9</v>
      </c>
      <c r="BC129">
        <v>127</v>
      </c>
      <c r="BD129">
        <v>12</v>
      </c>
      <c r="BE129">
        <v>12</v>
      </c>
      <c r="BF129">
        <v>12</v>
      </c>
      <c r="BG129">
        <v>12</v>
      </c>
      <c r="BH129">
        <v>15</v>
      </c>
      <c r="BK129" s="32">
        <v>127</v>
      </c>
      <c r="BL129">
        <v>10</v>
      </c>
      <c r="BM129">
        <v>1.5</v>
      </c>
    </row>
    <row r="130" spans="1:65" x14ac:dyDescent="0.45">
      <c r="A130" s="33"/>
      <c r="B130" s="32">
        <v>8</v>
      </c>
      <c r="C130" s="32">
        <v>128</v>
      </c>
      <c r="D130" s="32">
        <v>48</v>
      </c>
      <c r="E130" s="32">
        <v>48</v>
      </c>
      <c r="F130" s="32">
        <v>48</v>
      </c>
      <c r="G130" s="32"/>
      <c r="H130" s="32"/>
      <c r="I130" s="32"/>
      <c r="J130" s="32"/>
      <c r="K130" s="32"/>
      <c r="L130" s="32"/>
      <c r="M130" s="39"/>
      <c r="N130" s="43">
        <f t="shared" si="2"/>
        <v>3</v>
      </c>
      <c r="O130" s="33"/>
      <c r="P130" s="32">
        <v>8</v>
      </c>
      <c r="Q130" s="32">
        <v>128</v>
      </c>
      <c r="R130" s="32">
        <v>96</v>
      </c>
      <c r="S130" s="32">
        <v>48</v>
      </c>
      <c r="T130" s="32"/>
      <c r="U130" s="32"/>
      <c r="V130" s="32"/>
      <c r="W130" s="32"/>
      <c r="X130">
        <f t="shared" si="3"/>
        <v>2</v>
      </c>
      <c r="AC130">
        <v>128</v>
      </c>
      <c r="AD130">
        <v>211</v>
      </c>
      <c r="AE130">
        <v>211</v>
      </c>
      <c r="AF130">
        <v>480</v>
      </c>
      <c r="AI130">
        <v>128</v>
      </c>
      <c r="AJ130">
        <v>48</v>
      </c>
      <c r="AK130">
        <v>96</v>
      </c>
      <c r="AL130">
        <v>48</v>
      </c>
      <c r="AM130">
        <v>96</v>
      </c>
      <c r="AN130">
        <v>48</v>
      </c>
      <c r="AO130">
        <v>120</v>
      </c>
      <c r="AP130">
        <v>10</v>
      </c>
      <c r="AU130">
        <v>128</v>
      </c>
      <c r="AV130">
        <v>5</v>
      </c>
      <c r="AW130">
        <v>5</v>
      </c>
      <c r="AX130">
        <v>5</v>
      </c>
      <c r="AY130">
        <v>7</v>
      </c>
      <c r="AZ130">
        <v>9</v>
      </c>
      <c r="BC130">
        <v>128</v>
      </c>
      <c r="BD130">
        <v>12</v>
      </c>
      <c r="BE130">
        <v>12</v>
      </c>
      <c r="BF130">
        <v>12</v>
      </c>
      <c r="BG130">
        <v>12</v>
      </c>
      <c r="BH130">
        <v>15</v>
      </c>
      <c r="BK130" s="32">
        <v>128</v>
      </c>
      <c r="BL130">
        <v>10</v>
      </c>
      <c r="BM130">
        <v>1.5</v>
      </c>
    </row>
    <row r="131" spans="1:65" x14ac:dyDescent="0.45">
      <c r="A131" s="33"/>
      <c r="B131" s="32">
        <v>9</v>
      </c>
      <c r="C131" s="32">
        <v>129</v>
      </c>
      <c r="D131" s="32">
        <v>48</v>
      </c>
      <c r="E131" s="32">
        <v>48</v>
      </c>
      <c r="F131" s="32">
        <v>48</v>
      </c>
      <c r="G131" s="32"/>
      <c r="H131" s="32"/>
      <c r="I131" s="32"/>
      <c r="J131" s="32"/>
      <c r="K131" s="32"/>
      <c r="L131" s="32"/>
      <c r="M131" s="39"/>
      <c r="N131" s="43">
        <f t="shared" si="2"/>
        <v>3</v>
      </c>
      <c r="O131" s="33"/>
      <c r="P131" s="32">
        <v>9</v>
      </c>
      <c r="Q131" s="32">
        <v>129</v>
      </c>
      <c r="R131" s="32">
        <v>96</v>
      </c>
      <c r="S131" s="32">
        <v>48</v>
      </c>
      <c r="T131" s="32"/>
      <c r="U131" s="32"/>
      <c r="V131" s="32"/>
      <c r="W131" s="32"/>
      <c r="X131">
        <f t="shared" si="3"/>
        <v>2</v>
      </c>
      <c r="AC131">
        <v>129</v>
      </c>
      <c r="AD131">
        <v>211</v>
      </c>
      <c r="AE131">
        <v>211</v>
      </c>
      <c r="AF131">
        <v>480</v>
      </c>
      <c r="AI131">
        <v>129</v>
      </c>
      <c r="AJ131">
        <v>48</v>
      </c>
      <c r="AK131">
        <v>96</v>
      </c>
      <c r="AL131">
        <v>48</v>
      </c>
      <c r="AM131">
        <v>120</v>
      </c>
      <c r="AN131">
        <v>48</v>
      </c>
      <c r="AO131">
        <v>120</v>
      </c>
      <c r="AP131">
        <v>10</v>
      </c>
      <c r="AU131">
        <v>129</v>
      </c>
      <c r="AV131">
        <v>5</v>
      </c>
      <c r="AW131">
        <v>5</v>
      </c>
      <c r="AX131">
        <v>5</v>
      </c>
      <c r="AY131">
        <v>7</v>
      </c>
      <c r="AZ131">
        <v>9</v>
      </c>
      <c r="BC131">
        <v>129</v>
      </c>
      <c r="BD131">
        <v>12</v>
      </c>
      <c r="BE131">
        <v>12</v>
      </c>
      <c r="BF131">
        <v>12</v>
      </c>
      <c r="BG131">
        <v>12</v>
      </c>
      <c r="BH131">
        <v>15</v>
      </c>
      <c r="BK131" s="32">
        <v>129</v>
      </c>
      <c r="BL131">
        <v>10</v>
      </c>
      <c r="BM131">
        <v>1.5</v>
      </c>
    </row>
    <row r="132" spans="1:65" x14ac:dyDescent="0.45">
      <c r="A132" s="33"/>
      <c r="B132" s="32">
        <v>10</v>
      </c>
      <c r="C132" s="32">
        <v>130</v>
      </c>
      <c r="D132" s="32">
        <v>48</v>
      </c>
      <c r="E132" s="32">
        <v>48</v>
      </c>
      <c r="F132" s="32">
        <v>48</v>
      </c>
      <c r="G132" s="32"/>
      <c r="H132" s="32"/>
      <c r="I132" s="32"/>
      <c r="J132" s="32"/>
      <c r="K132" s="32"/>
      <c r="L132" s="32"/>
      <c r="M132" s="39"/>
      <c r="N132" s="43">
        <f t="shared" ref="N132:N195" si="4">COUNT(D132:M132)</f>
        <v>3</v>
      </c>
      <c r="O132" s="33"/>
      <c r="P132" s="32">
        <v>10</v>
      </c>
      <c r="Q132" s="32">
        <v>130</v>
      </c>
      <c r="R132" s="32">
        <v>96</v>
      </c>
      <c r="S132" s="32">
        <v>48</v>
      </c>
      <c r="T132" s="32"/>
      <c r="U132" s="32"/>
      <c r="V132" s="32"/>
      <c r="W132" s="32"/>
      <c r="X132">
        <f t="shared" ref="X132:X195" si="5">COUNT(R132:W132)</f>
        <v>2</v>
      </c>
      <c r="AC132">
        <v>130</v>
      </c>
      <c r="AD132">
        <v>211</v>
      </c>
      <c r="AE132">
        <v>211</v>
      </c>
      <c r="AF132">
        <v>480</v>
      </c>
      <c r="AI132">
        <v>130</v>
      </c>
      <c r="AJ132">
        <v>48</v>
      </c>
      <c r="AK132">
        <v>96</v>
      </c>
      <c r="AL132">
        <v>48</v>
      </c>
      <c r="AM132">
        <v>120</v>
      </c>
      <c r="AN132">
        <v>48</v>
      </c>
      <c r="AO132">
        <v>120</v>
      </c>
      <c r="AP132">
        <v>10</v>
      </c>
      <c r="AU132">
        <v>130</v>
      </c>
      <c r="AV132">
        <v>5</v>
      </c>
      <c r="AW132">
        <v>5</v>
      </c>
      <c r="AX132">
        <v>5</v>
      </c>
      <c r="AY132">
        <v>7</v>
      </c>
      <c r="AZ132">
        <v>9</v>
      </c>
      <c r="BC132">
        <v>130</v>
      </c>
      <c r="BD132">
        <v>12</v>
      </c>
      <c r="BE132">
        <v>12</v>
      </c>
      <c r="BF132">
        <v>12</v>
      </c>
      <c r="BG132">
        <v>12</v>
      </c>
      <c r="BH132">
        <v>15</v>
      </c>
      <c r="BK132" s="32">
        <v>130</v>
      </c>
      <c r="BL132">
        <v>10</v>
      </c>
      <c r="BM132">
        <v>1.5</v>
      </c>
    </row>
    <row r="133" spans="1:65" x14ac:dyDescent="0.45">
      <c r="A133" s="33"/>
      <c r="B133" s="32">
        <v>11</v>
      </c>
      <c r="C133" s="32">
        <v>131</v>
      </c>
      <c r="D133" s="32">
        <v>48</v>
      </c>
      <c r="E133" s="32">
        <v>48</v>
      </c>
      <c r="F133" s="32">
        <v>48</v>
      </c>
      <c r="G133" s="32"/>
      <c r="H133" s="32"/>
      <c r="I133" s="32"/>
      <c r="J133" s="32"/>
      <c r="K133" s="32"/>
      <c r="L133" s="32"/>
      <c r="M133" s="39"/>
      <c r="N133" s="43">
        <f t="shared" si="4"/>
        <v>3</v>
      </c>
      <c r="O133" s="33"/>
      <c r="P133" s="32">
        <v>11</v>
      </c>
      <c r="Q133" s="32">
        <v>131</v>
      </c>
      <c r="R133" s="32">
        <v>96</v>
      </c>
      <c r="S133" s="32">
        <v>48</v>
      </c>
      <c r="T133" s="32"/>
      <c r="U133" s="32"/>
      <c r="V133" s="32"/>
      <c r="W133" s="32"/>
      <c r="X133">
        <f t="shared" si="5"/>
        <v>2</v>
      </c>
      <c r="AC133">
        <v>131</v>
      </c>
      <c r="AD133">
        <v>211</v>
      </c>
      <c r="AE133">
        <v>211</v>
      </c>
      <c r="AF133">
        <v>480</v>
      </c>
      <c r="AI133">
        <v>131</v>
      </c>
      <c r="AJ133">
        <v>48</v>
      </c>
      <c r="AK133">
        <v>120</v>
      </c>
      <c r="AL133">
        <v>48</v>
      </c>
      <c r="AM133">
        <v>120</v>
      </c>
      <c r="AN133">
        <v>48</v>
      </c>
      <c r="AO133">
        <v>120</v>
      </c>
      <c r="AP133">
        <v>10</v>
      </c>
      <c r="AU133">
        <v>131</v>
      </c>
      <c r="AV133">
        <v>5</v>
      </c>
      <c r="AW133">
        <v>5</v>
      </c>
      <c r="AX133">
        <v>5</v>
      </c>
      <c r="AY133">
        <v>7</v>
      </c>
      <c r="AZ133">
        <v>9</v>
      </c>
      <c r="BC133">
        <v>131</v>
      </c>
      <c r="BD133">
        <v>12</v>
      </c>
      <c r="BE133">
        <v>12</v>
      </c>
      <c r="BF133">
        <v>12</v>
      </c>
      <c r="BG133">
        <v>12</v>
      </c>
      <c r="BH133">
        <v>15</v>
      </c>
      <c r="BK133" s="32">
        <v>131</v>
      </c>
      <c r="BL133">
        <v>10</v>
      </c>
      <c r="BM133">
        <v>1.5</v>
      </c>
    </row>
    <row r="134" spans="1:65" x14ac:dyDescent="0.45">
      <c r="A134" s="33">
        <v>11</v>
      </c>
      <c r="B134" s="32"/>
      <c r="C134" s="32">
        <v>132</v>
      </c>
      <c r="D134" s="32">
        <v>48</v>
      </c>
      <c r="E134" s="32">
        <v>48</v>
      </c>
      <c r="F134" s="32">
        <v>48</v>
      </c>
      <c r="G134" s="32"/>
      <c r="H134" s="32"/>
      <c r="I134" s="32"/>
      <c r="J134" s="32"/>
      <c r="K134" s="32"/>
      <c r="L134" s="32"/>
      <c r="M134" s="39"/>
      <c r="N134" s="43">
        <f t="shared" si="4"/>
        <v>3</v>
      </c>
      <c r="O134" s="33">
        <v>11</v>
      </c>
      <c r="P134" s="32"/>
      <c r="Q134" s="32">
        <v>132</v>
      </c>
      <c r="R134" s="32">
        <v>96</v>
      </c>
      <c r="S134" s="32">
        <v>48</v>
      </c>
      <c r="T134" s="32"/>
      <c r="U134" s="32"/>
      <c r="V134" s="32"/>
      <c r="W134" s="32"/>
      <c r="X134">
        <f t="shared" si="5"/>
        <v>2</v>
      </c>
      <c r="AC134">
        <v>132</v>
      </c>
      <c r="AD134">
        <v>211</v>
      </c>
      <c r="AE134">
        <v>211</v>
      </c>
      <c r="AF134">
        <v>480</v>
      </c>
      <c r="AI134">
        <v>132</v>
      </c>
      <c r="AJ134">
        <v>48</v>
      </c>
      <c r="AK134">
        <v>120</v>
      </c>
      <c r="AL134">
        <v>48</v>
      </c>
      <c r="AM134">
        <v>120</v>
      </c>
      <c r="AN134">
        <v>48</v>
      </c>
      <c r="AO134">
        <v>120</v>
      </c>
      <c r="AP134">
        <v>10</v>
      </c>
      <c r="AU134">
        <v>132</v>
      </c>
      <c r="AV134">
        <v>5</v>
      </c>
      <c r="AW134">
        <v>5</v>
      </c>
      <c r="AX134">
        <v>5</v>
      </c>
      <c r="AY134">
        <v>7</v>
      </c>
      <c r="AZ134">
        <v>9</v>
      </c>
      <c r="BC134">
        <v>132</v>
      </c>
      <c r="BD134">
        <v>12</v>
      </c>
      <c r="BE134">
        <v>12</v>
      </c>
      <c r="BF134">
        <v>12</v>
      </c>
      <c r="BG134">
        <v>12</v>
      </c>
      <c r="BH134">
        <v>15</v>
      </c>
      <c r="BK134" s="32">
        <v>132</v>
      </c>
      <c r="BL134">
        <v>10</v>
      </c>
      <c r="BM134">
        <v>1.5</v>
      </c>
    </row>
    <row r="135" spans="1:65" x14ac:dyDescent="0.45">
      <c r="A135" s="33"/>
      <c r="B135" s="32">
        <v>1</v>
      </c>
      <c r="C135" s="32">
        <v>133</v>
      </c>
      <c r="D135" s="32">
        <v>48</v>
      </c>
      <c r="E135" s="32">
        <v>48</v>
      </c>
      <c r="F135" s="32">
        <v>48</v>
      </c>
      <c r="G135" s="32"/>
      <c r="H135" s="32"/>
      <c r="I135" s="32"/>
      <c r="J135" s="32"/>
      <c r="K135" s="32"/>
      <c r="L135" s="32"/>
      <c r="M135" s="39"/>
      <c r="N135" s="43">
        <f t="shared" si="4"/>
        <v>3</v>
      </c>
      <c r="O135" s="33"/>
      <c r="P135" s="32">
        <v>1</v>
      </c>
      <c r="Q135" s="32">
        <v>133</v>
      </c>
      <c r="R135" s="32">
        <v>96</v>
      </c>
      <c r="S135" s="32">
        <v>48</v>
      </c>
      <c r="T135" s="32"/>
      <c r="U135" s="32"/>
      <c r="V135" s="32"/>
      <c r="W135" s="32"/>
      <c r="X135">
        <f t="shared" si="5"/>
        <v>2</v>
      </c>
      <c r="AC135">
        <v>133</v>
      </c>
      <c r="AD135">
        <v>220</v>
      </c>
      <c r="AE135">
        <v>220</v>
      </c>
      <c r="AF135">
        <v>480</v>
      </c>
      <c r="AI135">
        <v>133</v>
      </c>
      <c r="AJ135">
        <v>48</v>
      </c>
      <c r="AK135">
        <v>120</v>
      </c>
      <c r="AL135">
        <v>48</v>
      </c>
      <c r="AM135">
        <v>120</v>
      </c>
      <c r="AN135">
        <v>48</v>
      </c>
      <c r="AO135">
        <v>120</v>
      </c>
      <c r="AP135">
        <v>10</v>
      </c>
      <c r="AU135">
        <v>133</v>
      </c>
      <c r="AV135">
        <v>5</v>
      </c>
      <c r="AW135">
        <v>5</v>
      </c>
      <c r="AX135">
        <v>5</v>
      </c>
      <c r="AY135">
        <v>7</v>
      </c>
      <c r="AZ135">
        <v>9</v>
      </c>
      <c r="BC135">
        <v>133</v>
      </c>
      <c r="BD135">
        <v>12</v>
      </c>
      <c r="BE135">
        <v>12</v>
      </c>
      <c r="BF135">
        <v>12</v>
      </c>
      <c r="BG135">
        <v>12</v>
      </c>
      <c r="BH135">
        <v>15</v>
      </c>
      <c r="BK135" s="32">
        <v>133</v>
      </c>
      <c r="BL135">
        <v>10</v>
      </c>
      <c r="BM135">
        <v>1.5</v>
      </c>
    </row>
    <row r="136" spans="1:65" x14ac:dyDescent="0.45">
      <c r="A136" s="33"/>
      <c r="B136" s="32">
        <v>2</v>
      </c>
      <c r="C136" s="32">
        <v>134</v>
      </c>
      <c r="D136" s="32">
        <v>48</v>
      </c>
      <c r="E136" s="32">
        <v>48</v>
      </c>
      <c r="F136" s="32">
        <v>48</v>
      </c>
      <c r="G136" s="32"/>
      <c r="H136" s="32"/>
      <c r="I136" s="32"/>
      <c r="J136" s="32"/>
      <c r="K136" s="32"/>
      <c r="L136" s="32"/>
      <c r="M136" s="39"/>
      <c r="N136" s="43">
        <f t="shared" si="4"/>
        <v>3</v>
      </c>
      <c r="O136" s="33"/>
      <c r="P136" s="32">
        <v>2</v>
      </c>
      <c r="Q136" s="32">
        <v>134</v>
      </c>
      <c r="R136" s="32">
        <v>96</v>
      </c>
      <c r="S136" s="32">
        <v>48</v>
      </c>
      <c r="T136" s="32"/>
      <c r="U136" s="32"/>
      <c r="V136" s="32"/>
      <c r="W136" s="32"/>
      <c r="X136">
        <f t="shared" si="5"/>
        <v>2</v>
      </c>
      <c r="AC136">
        <v>134</v>
      </c>
      <c r="AD136">
        <v>220</v>
      </c>
      <c r="AE136">
        <v>220</v>
      </c>
      <c r="AF136">
        <v>480</v>
      </c>
      <c r="AI136">
        <v>134</v>
      </c>
      <c r="AJ136">
        <v>48</v>
      </c>
      <c r="AK136">
        <v>120</v>
      </c>
      <c r="AL136">
        <v>48</v>
      </c>
      <c r="AM136">
        <v>120</v>
      </c>
      <c r="AN136">
        <v>48</v>
      </c>
      <c r="AO136">
        <v>120</v>
      </c>
      <c r="AP136">
        <v>10</v>
      </c>
      <c r="AU136">
        <v>134</v>
      </c>
      <c r="AV136">
        <v>5</v>
      </c>
      <c r="AW136">
        <v>5</v>
      </c>
      <c r="AX136">
        <v>5</v>
      </c>
      <c r="AY136">
        <v>7</v>
      </c>
      <c r="AZ136">
        <v>9</v>
      </c>
      <c r="BC136">
        <v>134</v>
      </c>
      <c r="BD136">
        <v>12</v>
      </c>
      <c r="BE136">
        <v>12</v>
      </c>
      <c r="BF136">
        <v>12</v>
      </c>
      <c r="BG136">
        <v>12</v>
      </c>
      <c r="BH136">
        <v>15</v>
      </c>
      <c r="BK136" s="32">
        <v>134</v>
      </c>
      <c r="BL136">
        <v>10</v>
      </c>
      <c r="BM136">
        <v>1.5</v>
      </c>
    </row>
    <row r="137" spans="1:65" x14ac:dyDescent="0.45">
      <c r="A137" s="33"/>
      <c r="B137" s="32">
        <v>3</v>
      </c>
      <c r="C137" s="32">
        <v>135</v>
      </c>
      <c r="D137" s="32">
        <v>48</v>
      </c>
      <c r="E137" s="32">
        <v>48</v>
      </c>
      <c r="F137" s="32">
        <v>48</v>
      </c>
      <c r="G137" s="32"/>
      <c r="H137" s="32"/>
      <c r="I137" s="32"/>
      <c r="J137" s="32"/>
      <c r="K137" s="32"/>
      <c r="L137" s="32"/>
      <c r="M137" s="39"/>
      <c r="N137" s="43">
        <f t="shared" si="4"/>
        <v>3</v>
      </c>
      <c r="O137" s="33"/>
      <c r="P137" s="32">
        <v>3</v>
      </c>
      <c r="Q137" s="32">
        <v>135</v>
      </c>
      <c r="R137" s="32">
        <v>96</v>
      </c>
      <c r="S137" s="32">
        <v>48</v>
      </c>
      <c r="T137" s="32"/>
      <c r="U137" s="32"/>
      <c r="V137" s="32"/>
      <c r="W137" s="32"/>
      <c r="X137">
        <f t="shared" si="5"/>
        <v>2</v>
      </c>
      <c r="AC137">
        <v>135</v>
      </c>
      <c r="AD137">
        <v>220</v>
      </c>
      <c r="AE137">
        <v>220</v>
      </c>
      <c r="AF137">
        <v>480</v>
      </c>
      <c r="AI137">
        <v>135</v>
      </c>
      <c r="AJ137">
        <v>48</v>
      </c>
      <c r="AK137">
        <v>120</v>
      </c>
      <c r="AL137">
        <v>48</v>
      </c>
      <c r="AM137">
        <v>120</v>
      </c>
      <c r="AN137">
        <v>48</v>
      </c>
      <c r="AO137">
        <v>120</v>
      </c>
      <c r="AP137">
        <v>10</v>
      </c>
      <c r="AU137">
        <v>135</v>
      </c>
      <c r="AV137">
        <v>5</v>
      </c>
      <c r="AW137">
        <v>5</v>
      </c>
      <c r="AX137">
        <v>5</v>
      </c>
      <c r="AY137">
        <v>7</v>
      </c>
      <c r="AZ137">
        <v>9</v>
      </c>
      <c r="BC137">
        <v>135</v>
      </c>
      <c r="BD137">
        <v>12</v>
      </c>
      <c r="BE137">
        <v>12</v>
      </c>
      <c r="BF137">
        <v>12</v>
      </c>
      <c r="BG137">
        <v>12</v>
      </c>
      <c r="BH137">
        <v>15</v>
      </c>
      <c r="BK137" s="32">
        <v>135</v>
      </c>
      <c r="BL137">
        <v>10</v>
      </c>
      <c r="BM137">
        <v>1.5</v>
      </c>
    </row>
    <row r="138" spans="1:65" x14ac:dyDescent="0.45">
      <c r="A138" s="33"/>
      <c r="B138" s="32">
        <v>4</v>
      </c>
      <c r="C138" s="32">
        <v>136</v>
      </c>
      <c r="D138" s="32">
        <v>48</v>
      </c>
      <c r="E138" s="32">
        <v>48</v>
      </c>
      <c r="F138" s="32">
        <v>48</v>
      </c>
      <c r="G138" s="32"/>
      <c r="H138" s="32"/>
      <c r="I138" s="32"/>
      <c r="J138" s="32"/>
      <c r="K138" s="32"/>
      <c r="L138" s="32"/>
      <c r="M138" s="39"/>
      <c r="N138" s="43">
        <f t="shared" si="4"/>
        <v>3</v>
      </c>
      <c r="O138" s="33"/>
      <c r="P138" s="32">
        <v>4</v>
      </c>
      <c r="Q138" s="32">
        <v>136</v>
      </c>
      <c r="R138" s="32">
        <v>96</v>
      </c>
      <c r="S138" s="32">
        <v>48</v>
      </c>
      <c r="T138" s="32"/>
      <c r="U138" s="32"/>
      <c r="V138" s="32"/>
      <c r="W138" s="32"/>
      <c r="X138">
        <f t="shared" si="5"/>
        <v>2</v>
      </c>
      <c r="AC138">
        <v>136</v>
      </c>
      <c r="AD138">
        <v>220</v>
      </c>
      <c r="AE138">
        <v>220</v>
      </c>
      <c r="AF138">
        <v>480</v>
      </c>
      <c r="AI138">
        <v>136</v>
      </c>
      <c r="AJ138">
        <v>48</v>
      </c>
      <c r="AK138">
        <v>120</v>
      </c>
      <c r="AL138">
        <v>48</v>
      </c>
      <c r="AM138">
        <v>120</v>
      </c>
      <c r="AN138">
        <v>48</v>
      </c>
      <c r="AO138">
        <v>120</v>
      </c>
      <c r="AP138">
        <v>10</v>
      </c>
      <c r="AU138">
        <v>136</v>
      </c>
      <c r="AV138">
        <v>5</v>
      </c>
      <c r="AW138">
        <v>5</v>
      </c>
      <c r="AX138">
        <v>5</v>
      </c>
      <c r="AY138">
        <v>7</v>
      </c>
      <c r="AZ138">
        <v>9</v>
      </c>
      <c r="BC138">
        <v>136</v>
      </c>
      <c r="BD138">
        <v>12</v>
      </c>
      <c r="BE138">
        <v>12</v>
      </c>
      <c r="BF138">
        <v>12</v>
      </c>
      <c r="BG138">
        <v>12</v>
      </c>
      <c r="BH138">
        <v>15</v>
      </c>
      <c r="BK138" s="32">
        <v>136</v>
      </c>
      <c r="BL138">
        <v>10</v>
      </c>
      <c r="BM138">
        <v>1.5</v>
      </c>
    </row>
    <row r="139" spans="1:65" x14ac:dyDescent="0.45">
      <c r="A139" s="33"/>
      <c r="B139" s="32">
        <v>5</v>
      </c>
      <c r="C139" s="32">
        <v>137</v>
      </c>
      <c r="D139" s="32">
        <v>48</v>
      </c>
      <c r="E139" s="32">
        <v>48</v>
      </c>
      <c r="F139" s="32">
        <v>48</v>
      </c>
      <c r="G139" s="32"/>
      <c r="H139" s="32"/>
      <c r="I139" s="32"/>
      <c r="J139" s="32"/>
      <c r="K139" s="32"/>
      <c r="L139" s="32"/>
      <c r="M139" s="39"/>
      <c r="N139" s="43">
        <f t="shared" si="4"/>
        <v>3</v>
      </c>
      <c r="O139" s="33"/>
      <c r="P139" s="32">
        <v>5</v>
      </c>
      <c r="Q139" s="32">
        <v>137</v>
      </c>
      <c r="R139" s="32">
        <v>96</v>
      </c>
      <c r="S139" s="32">
        <v>48</v>
      </c>
      <c r="T139" s="32"/>
      <c r="U139" s="32"/>
      <c r="V139" s="32"/>
      <c r="W139" s="32"/>
      <c r="X139">
        <f t="shared" si="5"/>
        <v>2</v>
      </c>
      <c r="AC139">
        <v>137</v>
      </c>
      <c r="AD139">
        <v>220</v>
      </c>
      <c r="AE139">
        <v>220</v>
      </c>
      <c r="AF139">
        <v>480</v>
      </c>
      <c r="AI139">
        <v>137</v>
      </c>
      <c r="AJ139">
        <v>48</v>
      </c>
      <c r="AK139">
        <v>120</v>
      </c>
      <c r="AL139">
        <v>48</v>
      </c>
      <c r="AM139">
        <v>120</v>
      </c>
      <c r="AN139">
        <v>48</v>
      </c>
      <c r="AO139">
        <v>120</v>
      </c>
      <c r="AP139">
        <v>10</v>
      </c>
      <c r="AU139">
        <v>137</v>
      </c>
      <c r="AV139">
        <v>5</v>
      </c>
      <c r="AW139">
        <v>5</v>
      </c>
      <c r="AX139">
        <v>5</v>
      </c>
      <c r="AY139">
        <v>7</v>
      </c>
      <c r="AZ139">
        <v>9</v>
      </c>
      <c r="BC139">
        <v>137</v>
      </c>
      <c r="BD139">
        <v>12</v>
      </c>
      <c r="BE139">
        <v>12</v>
      </c>
      <c r="BF139">
        <v>12</v>
      </c>
      <c r="BG139">
        <v>12</v>
      </c>
      <c r="BH139">
        <v>15</v>
      </c>
      <c r="BK139" s="32">
        <v>137</v>
      </c>
      <c r="BL139">
        <v>10</v>
      </c>
      <c r="BM139">
        <v>1.5</v>
      </c>
    </row>
    <row r="140" spans="1:65" x14ac:dyDescent="0.45">
      <c r="A140" s="33"/>
      <c r="B140" s="32">
        <v>6</v>
      </c>
      <c r="C140" s="32">
        <v>138</v>
      </c>
      <c r="D140" s="32">
        <v>48</v>
      </c>
      <c r="E140" s="32">
        <v>48</v>
      </c>
      <c r="F140" s="32">
        <v>48</v>
      </c>
      <c r="G140" s="32"/>
      <c r="H140" s="32"/>
      <c r="I140" s="32"/>
      <c r="J140" s="32"/>
      <c r="K140" s="32"/>
      <c r="L140" s="32"/>
      <c r="M140" s="39"/>
      <c r="N140" s="43">
        <f t="shared" si="4"/>
        <v>3</v>
      </c>
      <c r="O140" s="33"/>
      <c r="P140" s="32">
        <v>6</v>
      </c>
      <c r="Q140" s="32">
        <v>138</v>
      </c>
      <c r="R140" s="32">
        <v>96</v>
      </c>
      <c r="S140" s="32">
        <v>48</v>
      </c>
      <c r="T140" s="32"/>
      <c r="U140" s="32"/>
      <c r="V140" s="32"/>
      <c r="W140" s="32"/>
      <c r="X140">
        <f t="shared" si="5"/>
        <v>2</v>
      </c>
      <c r="AC140">
        <v>138</v>
      </c>
      <c r="AD140">
        <v>220</v>
      </c>
      <c r="AE140">
        <v>220</v>
      </c>
      <c r="AF140">
        <v>480</v>
      </c>
      <c r="AI140">
        <v>138</v>
      </c>
      <c r="AJ140">
        <v>48</v>
      </c>
      <c r="AK140">
        <v>120</v>
      </c>
      <c r="AL140">
        <v>48</v>
      </c>
      <c r="AM140">
        <v>120</v>
      </c>
      <c r="AN140">
        <v>48</v>
      </c>
      <c r="AO140">
        <v>120</v>
      </c>
      <c r="AP140">
        <v>10</v>
      </c>
      <c r="AU140">
        <v>138</v>
      </c>
      <c r="AV140">
        <v>5</v>
      </c>
      <c r="AW140">
        <v>5</v>
      </c>
      <c r="AX140">
        <v>5</v>
      </c>
      <c r="AY140">
        <v>7</v>
      </c>
      <c r="AZ140">
        <v>9</v>
      </c>
      <c r="BC140">
        <v>138</v>
      </c>
      <c r="BD140">
        <v>12</v>
      </c>
      <c r="BE140">
        <v>12</v>
      </c>
      <c r="BF140">
        <v>12</v>
      </c>
      <c r="BG140">
        <v>12</v>
      </c>
      <c r="BH140">
        <v>15</v>
      </c>
      <c r="BK140" s="32">
        <v>138</v>
      </c>
      <c r="BL140">
        <v>10</v>
      </c>
      <c r="BM140">
        <v>1.5</v>
      </c>
    </row>
    <row r="141" spans="1:65" x14ac:dyDescent="0.45">
      <c r="A141" s="33"/>
      <c r="B141" s="32">
        <v>7</v>
      </c>
      <c r="C141" s="32">
        <v>139</v>
      </c>
      <c r="D141" s="32">
        <v>48</v>
      </c>
      <c r="E141" s="32">
        <v>48</v>
      </c>
      <c r="F141" s="32">
        <v>48</v>
      </c>
      <c r="G141" s="32"/>
      <c r="H141" s="32"/>
      <c r="I141" s="32"/>
      <c r="J141" s="32"/>
      <c r="K141" s="32"/>
      <c r="L141" s="32"/>
      <c r="M141" s="39"/>
      <c r="N141" s="43">
        <f t="shared" si="4"/>
        <v>3</v>
      </c>
      <c r="O141" s="33"/>
      <c r="P141" s="32">
        <v>7</v>
      </c>
      <c r="Q141" s="32">
        <v>139</v>
      </c>
      <c r="R141" s="32">
        <v>96</v>
      </c>
      <c r="S141" s="32">
        <v>48</v>
      </c>
      <c r="T141" s="32"/>
      <c r="U141" s="32"/>
      <c r="V141" s="32"/>
      <c r="W141" s="32"/>
      <c r="X141">
        <f t="shared" si="5"/>
        <v>2</v>
      </c>
      <c r="AC141">
        <v>139</v>
      </c>
      <c r="AD141">
        <v>240</v>
      </c>
      <c r="AE141">
        <v>240</v>
      </c>
      <c r="AF141">
        <v>480</v>
      </c>
      <c r="AI141">
        <v>139</v>
      </c>
      <c r="AJ141">
        <v>48</v>
      </c>
      <c r="AK141">
        <v>120</v>
      </c>
      <c r="AL141">
        <v>48</v>
      </c>
      <c r="AM141">
        <v>120</v>
      </c>
      <c r="AN141">
        <v>48</v>
      </c>
      <c r="AO141">
        <v>120</v>
      </c>
      <c r="AP141">
        <v>10</v>
      </c>
      <c r="AU141">
        <v>139</v>
      </c>
      <c r="AV141">
        <v>5</v>
      </c>
      <c r="AW141">
        <v>5</v>
      </c>
      <c r="AX141">
        <v>5</v>
      </c>
      <c r="AY141">
        <v>7</v>
      </c>
      <c r="AZ141">
        <v>9</v>
      </c>
      <c r="BC141">
        <v>139</v>
      </c>
      <c r="BD141">
        <v>12</v>
      </c>
      <c r="BE141">
        <v>12</v>
      </c>
      <c r="BF141">
        <v>12</v>
      </c>
      <c r="BG141">
        <v>12</v>
      </c>
      <c r="BH141">
        <v>15</v>
      </c>
      <c r="BK141" s="32">
        <v>139</v>
      </c>
      <c r="BL141">
        <v>10</v>
      </c>
      <c r="BM141">
        <v>1.5</v>
      </c>
    </row>
    <row r="142" spans="1:65" x14ac:dyDescent="0.45">
      <c r="A142" s="33"/>
      <c r="B142" s="32">
        <v>8</v>
      </c>
      <c r="C142" s="32">
        <v>140</v>
      </c>
      <c r="D142" s="32">
        <v>48</v>
      </c>
      <c r="E142" s="32">
        <v>48</v>
      </c>
      <c r="F142" s="32">
        <v>48</v>
      </c>
      <c r="G142" s="32"/>
      <c r="H142" s="32"/>
      <c r="I142" s="32"/>
      <c r="J142" s="32"/>
      <c r="K142" s="32"/>
      <c r="L142" s="32"/>
      <c r="M142" s="39"/>
      <c r="N142" s="43">
        <f t="shared" si="4"/>
        <v>3</v>
      </c>
      <c r="O142" s="33"/>
      <c r="P142" s="32">
        <v>8</v>
      </c>
      <c r="Q142" s="32">
        <v>140</v>
      </c>
      <c r="R142" s="32">
        <v>96</v>
      </c>
      <c r="S142" s="32">
        <v>48</v>
      </c>
      <c r="T142" s="32"/>
      <c r="U142" s="32"/>
      <c r="V142" s="32"/>
      <c r="W142" s="32"/>
      <c r="X142">
        <f t="shared" si="5"/>
        <v>2</v>
      </c>
      <c r="AC142">
        <v>140</v>
      </c>
      <c r="AD142">
        <v>240</v>
      </c>
      <c r="AE142">
        <v>240</v>
      </c>
      <c r="AF142">
        <v>480</v>
      </c>
      <c r="AI142">
        <v>140</v>
      </c>
      <c r="AJ142">
        <v>48</v>
      </c>
      <c r="AK142">
        <v>120</v>
      </c>
      <c r="AL142">
        <v>48</v>
      </c>
      <c r="AM142">
        <v>120</v>
      </c>
      <c r="AN142">
        <v>48</v>
      </c>
      <c r="AO142">
        <v>120</v>
      </c>
      <c r="AP142">
        <v>10</v>
      </c>
      <c r="AU142">
        <v>140</v>
      </c>
      <c r="AV142">
        <v>5</v>
      </c>
      <c r="AW142">
        <v>5</v>
      </c>
      <c r="AX142">
        <v>5</v>
      </c>
      <c r="AY142">
        <v>7</v>
      </c>
      <c r="AZ142">
        <v>9</v>
      </c>
      <c r="BC142">
        <v>140</v>
      </c>
      <c r="BD142">
        <v>12</v>
      </c>
      <c r="BE142">
        <v>12</v>
      </c>
      <c r="BF142">
        <v>12</v>
      </c>
      <c r="BG142">
        <v>12</v>
      </c>
      <c r="BH142">
        <v>15</v>
      </c>
      <c r="BK142" s="32">
        <v>140</v>
      </c>
      <c r="BL142">
        <v>10</v>
      </c>
      <c r="BM142">
        <v>1.5</v>
      </c>
    </row>
    <row r="143" spans="1:65" x14ac:dyDescent="0.45">
      <c r="A143" s="33"/>
      <c r="B143" s="32">
        <v>9</v>
      </c>
      <c r="C143" s="32">
        <v>141</v>
      </c>
      <c r="D143" s="32">
        <v>48</v>
      </c>
      <c r="E143" s="32">
        <v>48</v>
      </c>
      <c r="F143" s="32">
        <v>48</v>
      </c>
      <c r="G143" s="32"/>
      <c r="H143" s="32"/>
      <c r="I143" s="32"/>
      <c r="J143" s="32"/>
      <c r="K143" s="32"/>
      <c r="L143" s="32"/>
      <c r="M143" s="39"/>
      <c r="N143" s="43">
        <f t="shared" si="4"/>
        <v>3</v>
      </c>
      <c r="O143" s="33"/>
      <c r="P143" s="32">
        <v>9</v>
      </c>
      <c r="Q143" s="32">
        <v>141</v>
      </c>
      <c r="R143" s="32">
        <v>96</v>
      </c>
      <c r="S143" s="32">
        <v>48</v>
      </c>
      <c r="T143" s="32"/>
      <c r="U143" s="32"/>
      <c r="V143" s="32"/>
      <c r="W143" s="32"/>
      <c r="X143">
        <f t="shared" si="5"/>
        <v>2</v>
      </c>
      <c r="AC143">
        <v>141</v>
      </c>
      <c r="AD143">
        <v>240</v>
      </c>
      <c r="AE143">
        <v>240</v>
      </c>
      <c r="AF143">
        <v>480</v>
      </c>
      <c r="AI143">
        <v>141</v>
      </c>
      <c r="AJ143">
        <v>48</v>
      </c>
      <c r="AK143">
        <v>120</v>
      </c>
      <c r="AL143">
        <v>48</v>
      </c>
      <c r="AM143">
        <v>120</v>
      </c>
      <c r="AN143">
        <v>48</v>
      </c>
      <c r="AO143">
        <v>120</v>
      </c>
      <c r="AP143">
        <v>10</v>
      </c>
      <c r="AU143">
        <v>141</v>
      </c>
      <c r="AV143">
        <v>5</v>
      </c>
      <c r="AW143">
        <v>5</v>
      </c>
      <c r="AX143">
        <v>5</v>
      </c>
      <c r="AY143">
        <v>7</v>
      </c>
      <c r="AZ143">
        <v>9</v>
      </c>
      <c r="BC143">
        <v>141</v>
      </c>
      <c r="BD143">
        <v>12</v>
      </c>
      <c r="BE143">
        <v>12</v>
      </c>
      <c r="BF143">
        <v>12</v>
      </c>
      <c r="BG143">
        <v>12</v>
      </c>
      <c r="BH143">
        <v>15</v>
      </c>
      <c r="BK143" s="32">
        <v>141</v>
      </c>
      <c r="BL143">
        <v>10</v>
      </c>
      <c r="BM143">
        <v>1.5</v>
      </c>
    </row>
    <row r="144" spans="1:65" x14ac:dyDescent="0.45">
      <c r="A144" s="33"/>
      <c r="B144" s="32">
        <v>10</v>
      </c>
      <c r="C144" s="32">
        <v>142</v>
      </c>
      <c r="D144" s="32">
        <v>48</v>
      </c>
      <c r="E144" s="32">
        <v>48</v>
      </c>
      <c r="F144" s="32">
        <v>48</v>
      </c>
      <c r="G144" s="32"/>
      <c r="H144" s="32"/>
      <c r="I144" s="32"/>
      <c r="J144" s="32"/>
      <c r="K144" s="32"/>
      <c r="L144" s="32"/>
      <c r="M144" s="39"/>
      <c r="N144" s="43">
        <f t="shared" si="4"/>
        <v>3</v>
      </c>
      <c r="O144" s="33"/>
      <c r="P144" s="32">
        <v>10</v>
      </c>
      <c r="Q144" s="32">
        <v>142</v>
      </c>
      <c r="R144" s="32">
        <v>96</v>
      </c>
      <c r="S144" s="32">
        <v>48</v>
      </c>
      <c r="T144" s="32"/>
      <c r="U144" s="32"/>
      <c r="V144" s="32"/>
      <c r="W144" s="32"/>
      <c r="X144">
        <f t="shared" si="5"/>
        <v>2</v>
      </c>
      <c r="AC144">
        <v>142</v>
      </c>
      <c r="AD144">
        <v>240</v>
      </c>
      <c r="AE144">
        <v>240</v>
      </c>
      <c r="AF144">
        <v>480</v>
      </c>
      <c r="AI144">
        <v>142</v>
      </c>
      <c r="AJ144">
        <v>48</v>
      </c>
      <c r="AK144">
        <v>120</v>
      </c>
      <c r="AL144">
        <v>48</v>
      </c>
      <c r="AM144">
        <v>120</v>
      </c>
      <c r="AN144">
        <v>48</v>
      </c>
      <c r="AO144">
        <v>120</v>
      </c>
      <c r="AP144">
        <v>10</v>
      </c>
      <c r="AU144">
        <v>142</v>
      </c>
      <c r="AV144">
        <v>5</v>
      </c>
      <c r="AW144">
        <v>5</v>
      </c>
      <c r="AX144">
        <v>5</v>
      </c>
      <c r="AY144">
        <v>7</v>
      </c>
      <c r="AZ144">
        <v>9</v>
      </c>
      <c r="BC144">
        <v>142</v>
      </c>
      <c r="BD144">
        <v>12</v>
      </c>
      <c r="BE144">
        <v>12</v>
      </c>
      <c r="BF144">
        <v>12</v>
      </c>
      <c r="BG144">
        <v>12</v>
      </c>
      <c r="BH144">
        <v>15</v>
      </c>
      <c r="BK144" s="32">
        <v>142</v>
      </c>
      <c r="BL144">
        <v>10</v>
      </c>
      <c r="BM144">
        <v>1.5</v>
      </c>
    </row>
    <row r="145" spans="1:65" x14ac:dyDescent="0.45">
      <c r="A145" s="33"/>
      <c r="B145" s="32">
        <v>11</v>
      </c>
      <c r="C145" s="32">
        <v>143</v>
      </c>
      <c r="D145" s="32">
        <v>48</v>
      </c>
      <c r="E145" s="32">
        <v>48</v>
      </c>
      <c r="F145" s="32">
        <v>48</v>
      </c>
      <c r="G145" s="32"/>
      <c r="H145" s="32"/>
      <c r="I145" s="32"/>
      <c r="J145" s="32"/>
      <c r="K145" s="32"/>
      <c r="L145" s="32"/>
      <c r="M145" s="39"/>
      <c r="N145" s="43">
        <f t="shared" si="4"/>
        <v>3</v>
      </c>
      <c r="O145" s="33"/>
      <c r="P145" s="32">
        <v>11</v>
      </c>
      <c r="Q145" s="32">
        <v>143</v>
      </c>
      <c r="R145" s="32">
        <v>96</v>
      </c>
      <c r="S145" s="32">
        <v>48</v>
      </c>
      <c r="T145" s="32"/>
      <c r="U145" s="32"/>
      <c r="V145" s="32"/>
      <c r="W145" s="32"/>
      <c r="X145">
        <f t="shared" si="5"/>
        <v>2</v>
      </c>
      <c r="AC145">
        <v>143</v>
      </c>
      <c r="AD145">
        <v>240</v>
      </c>
      <c r="AE145">
        <v>240</v>
      </c>
      <c r="AF145">
        <v>480</v>
      </c>
      <c r="AI145">
        <v>143</v>
      </c>
      <c r="AJ145">
        <v>48</v>
      </c>
      <c r="AK145">
        <v>120</v>
      </c>
      <c r="AL145">
        <v>48</v>
      </c>
      <c r="AM145">
        <v>120</v>
      </c>
      <c r="AN145">
        <v>48</v>
      </c>
      <c r="AO145">
        <v>120</v>
      </c>
      <c r="AP145">
        <v>10</v>
      </c>
      <c r="AU145">
        <v>143</v>
      </c>
      <c r="AV145">
        <v>5</v>
      </c>
      <c r="AW145">
        <v>5</v>
      </c>
      <c r="AX145">
        <v>5</v>
      </c>
      <c r="AY145">
        <v>7</v>
      </c>
      <c r="AZ145">
        <v>9</v>
      </c>
      <c r="BC145">
        <v>143</v>
      </c>
      <c r="BD145">
        <v>12</v>
      </c>
      <c r="BE145">
        <v>12</v>
      </c>
      <c r="BF145">
        <v>12</v>
      </c>
      <c r="BG145">
        <v>12</v>
      </c>
      <c r="BH145">
        <v>15</v>
      </c>
      <c r="BK145" s="32">
        <v>143</v>
      </c>
      <c r="BL145">
        <v>10</v>
      </c>
      <c r="BM145">
        <v>1.5</v>
      </c>
    </row>
    <row r="146" spans="1:65" x14ac:dyDescent="0.45">
      <c r="A146" s="33">
        <v>12</v>
      </c>
      <c r="B146" s="32"/>
      <c r="C146" s="32">
        <v>144</v>
      </c>
      <c r="D146" s="32">
        <v>48</v>
      </c>
      <c r="E146" s="32">
        <v>48</v>
      </c>
      <c r="F146" s="32">
        <v>48</v>
      </c>
      <c r="G146" s="32"/>
      <c r="H146" s="32"/>
      <c r="I146" s="32"/>
      <c r="J146" s="32"/>
      <c r="K146" s="32"/>
      <c r="L146" s="32"/>
      <c r="M146" s="39"/>
      <c r="N146" s="43">
        <f t="shared" si="4"/>
        <v>3</v>
      </c>
      <c r="O146" s="33">
        <v>12</v>
      </c>
      <c r="P146" s="32"/>
      <c r="Q146" s="32">
        <v>144</v>
      </c>
      <c r="R146" s="32">
        <v>96</v>
      </c>
      <c r="S146" s="32">
        <v>48</v>
      </c>
      <c r="T146" s="32"/>
      <c r="U146" s="32"/>
      <c r="V146" s="32"/>
      <c r="W146" s="32"/>
      <c r="X146">
        <f t="shared" si="5"/>
        <v>2</v>
      </c>
      <c r="AC146">
        <v>144</v>
      </c>
      <c r="AD146">
        <v>240</v>
      </c>
      <c r="AE146">
        <v>240</v>
      </c>
      <c r="AF146">
        <v>480</v>
      </c>
      <c r="AI146">
        <v>144</v>
      </c>
      <c r="AJ146">
        <v>48</v>
      </c>
      <c r="AK146">
        <v>120</v>
      </c>
      <c r="AL146">
        <v>48</v>
      </c>
      <c r="AM146">
        <v>120</v>
      </c>
      <c r="AN146">
        <v>48</v>
      </c>
      <c r="AO146">
        <v>120</v>
      </c>
      <c r="AP146">
        <v>10</v>
      </c>
      <c r="AU146">
        <v>144</v>
      </c>
      <c r="AV146">
        <v>5</v>
      </c>
      <c r="AW146">
        <v>5</v>
      </c>
      <c r="AX146">
        <v>5</v>
      </c>
      <c r="AY146">
        <v>7</v>
      </c>
      <c r="AZ146">
        <v>9</v>
      </c>
      <c r="BC146">
        <v>144</v>
      </c>
      <c r="BD146">
        <v>12</v>
      </c>
      <c r="BE146">
        <v>12</v>
      </c>
      <c r="BF146">
        <v>12</v>
      </c>
      <c r="BG146">
        <v>12</v>
      </c>
      <c r="BH146">
        <v>15</v>
      </c>
      <c r="BK146" s="32">
        <v>144</v>
      </c>
      <c r="BL146">
        <v>10</v>
      </c>
      <c r="BM146">
        <v>1.5</v>
      </c>
    </row>
    <row r="147" spans="1:65" x14ac:dyDescent="0.45">
      <c r="A147" s="33"/>
      <c r="B147" s="32">
        <v>1</v>
      </c>
      <c r="C147" s="32">
        <v>145</v>
      </c>
      <c r="D147" s="32">
        <v>60</v>
      </c>
      <c r="E147" s="32">
        <v>48</v>
      </c>
      <c r="F147" s="32">
        <v>48</v>
      </c>
      <c r="G147" s="32"/>
      <c r="H147" s="32"/>
      <c r="I147" s="32"/>
      <c r="J147" s="32"/>
      <c r="K147" s="32"/>
      <c r="L147" s="32"/>
      <c r="M147" s="39"/>
      <c r="N147" s="43">
        <f t="shared" si="4"/>
        <v>3</v>
      </c>
      <c r="O147" s="33"/>
      <c r="P147" s="32">
        <v>1</v>
      </c>
      <c r="Q147" s="32">
        <v>145</v>
      </c>
      <c r="R147" s="32">
        <v>96</v>
      </c>
      <c r="S147" s="32">
        <v>60</v>
      </c>
      <c r="T147" s="32"/>
      <c r="U147" s="32"/>
      <c r="V147" s="32"/>
      <c r="W147" s="32"/>
      <c r="X147">
        <f t="shared" si="5"/>
        <v>2</v>
      </c>
      <c r="AC147">
        <v>145</v>
      </c>
      <c r="AD147">
        <v>240</v>
      </c>
      <c r="AE147">
        <v>240</v>
      </c>
      <c r="AF147">
        <v>480</v>
      </c>
      <c r="AI147">
        <v>145</v>
      </c>
      <c r="AJ147">
        <v>48</v>
      </c>
      <c r="AK147">
        <v>120</v>
      </c>
      <c r="AL147">
        <v>48</v>
      </c>
      <c r="AM147">
        <v>120</v>
      </c>
      <c r="AN147">
        <v>48</v>
      </c>
      <c r="AO147">
        <v>120</v>
      </c>
      <c r="AP147">
        <v>12</v>
      </c>
      <c r="AU147">
        <v>145</v>
      </c>
      <c r="AV147">
        <v>5</v>
      </c>
      <c r="AW147">
        <v>5</v>
      </c>
      <c r="AX147">
        <v>5</v>
      </c>
      <c r="AY147">
        <v>7</v>
      </c>
      <c r="AZ147">
        <v>9</v>
      </c>
      <c r="BC147">
        <v>145</v>
      </c>
      <c r="BD147">
        <v>13</v>
      </c>
      <c r="BE147">
        <v>13</v>
      </c>
      <c r="BF147">
        <v>13</v>
      </c>
      <c r="BG147">
        <v>13</v>
      </c>
      <c r="BH147">
        <v>16</v>
      </c>
      <c r="BK147" s="32">
        <v>145</v>
      </c>
      <c r="BL147">
        <v>10</v>
      </c>
      <c r="BM147">
        <v>1.5</v>
      </c>
    </row>
    <row r="148" spans="1:65" x14ac:dyDescent="0.45">
      <c r="A148" s="33"/>
      <c r="B148" s="32">
        <v>2</v>
      </c>
      <c r="C148" s="32">
        <v>146</v>
      </c>
      <c r="D148" s="32">
        <v>60</v>
      </c>
      <c r="E148" s="32">
        <v>48</v>
      </c>
      <c r="F148" s="32">
        <v>48</v>
      </c>
      <c r="G148" s="32"/>
      <c r="H148" s="32"/>
      <c r="I148" s="32"/>
      <c r="J148" s="32"/>
      <c r="K148" s="32"/>
      <c r="L148" s="32"/>
      <c r="M148" s="39"/>
      <c r="N148" s="43">
        <f t="shared" si="4"/>
        <v>3</v>
      </c>
      <c r="O148" s="33"/>
      <c r="P148" s="32">
        <v>2</v>
      </c>
      <c r="Q148" s="32">
        <v>146</v>
      </c>
      <c r="R148" s="32">
        <v>96</v>
      </c>
      <c r="S148" s="32">
        <v>60</v>
      </c>
      <c r="T148" s="32"/>
      <c r="U148" s="32"/>
      <c r="V148" s="32"/>
      <c r="W148" s="32"/>
      <c r="X148">
        <f t="shared" si="5"/>
        <v>2</v>
      </c>
      <c r="AC148">
        <v>146</v>
      </c>
      <c r="AD148">
        <v>240</v>
      </c>
      <c r="AE148">
        <v>240</v>
      </c>
      <c r="AF148">
        <v>480</v>
      </c>
      <c r="AI148">
        <v>146</v>
      </c>
      <c r="AJ148">
        <v>48</v>
      </c>
      <c r="AK148">
        <v>120</v>
      </c>
      <c r="AL148">
        <v>48</v>
      </c>
      <c r="AM148">
        <v>120</v>
      </c>
      <c r="AN148">
        <v>48</v>
      </c>
      <c r="AO148">
        <v>120</v>
      </c>
      <c r="AP148">
        <v>12</v>
      </c>
      <c r="AU148">
        <v>146</v>
      </c>
      <c r="AV148">
        <v>5</v>
      </c>
      <c r="AW148">
        <v>5</v>
      </c>
      <c r="AX148">
        <v>5</v>
      </c>
      <c r="AY148">
        <v>7</v>
      </c>
      <c r="AZ148">
        <v>9</v>
      </c>
      <c r="BC148">
        <v>146</v>
      </c>
      <c r="BD148">
        <v>13</v>
      </c>
      <c r="BE148">
        <v>13</v>
      </c>
      <c r="BF148">
        <v>13</v>
      </c>
      <c r="BG148">
        <v>13</v>
      </c>
      <c r="BH148">
        <v>16</v>
      </c>
      <c r="BK148" s="32">
        <v>146</v>
      </c>
      <c r="BL148">
        <v>10</v>
      </c>
      <c r="BM148">
        <v>1.5</v>
      </c>
    </row>
    <row r="149" spans="1:65" x14ac:dyDescent="0.45">
      <c r="A149" s="33"/>
      <c r="B149" s="32">
        <v>3</v>
      </c>
      <c r="C149" s="32">
        <v>147</v>
      </c>
      <c r="D149" s="32">
        <v>60</v>
      </c>
      <c r="E149" s="32">
        <v>48</v>
      </c>
      <c r="F149" s="32">
        <v>48</v>
      </c>
      <c r="G149" s="32"/>
      <c r="H149" s="32"/>
      <c r="I149" s="32"/>
      <c r="J149" s="32"/>
      <c r="K149" s="32"/>
      <c r="L149" s="32"/>
      <c r="M149" s="39"/>
      <c r="N149" s="43">
        <f t="shared" si="4"/>
        <v>3</v>
      </c>
      <c r="O149" s="33"/>
      <c r="P149" s="32">
        <v>3</v>
      </c>
      <c r="Q149" s="32">
        <v>147</v>
      </c>
      <c r="R149" s="32">
        <v>96</v>
      </c>
      <c r="S149" s="32">
        <v>60</v>
      </c>
      <c r="T149" s="32"/>
      <c r="U149" s="32"/>
      <c r="V149" s="32"/>
      <c r="W149" s="32"/>
      <c r="X149">
        <f t="shared" si="5"/>
        <v>2</v>
      </c>
      <c r="AC149">
        <v>147</v>
      </c>
      <c r="AD149">
        <v>240</v>
      </c>
      <c r="AE149">
        <v>240</v>
      </c>
      <c r="AF149">
        <v>480</v>
      </c>
      <c r="AI149">
        <v>147</v>
      </c>
      <c r="AJ149">
        <v>48</v>
      </c>
      <c r="AK149">
        <v>120</v>
      </c>
      <c r="AL149">
        <v>48</v>
      </c>
      <c r="AM149">
        <v>120</v>
      </c>
      <c r="AN149">
        <v>48</v>
      </c>
      <c r="AO149">
        <v>120</v>
      </c>
      <c r="AP149">
        <v>12</v>
      </c>
      <c r="AU149">
        <v>147</v>
      </c>
      <c r="AV149">
        <v>5</v>
      </c>
      <c r="AW149">
        <v>5</v>
      </c>
      <c r="AX149">
        <v>5</v>
      </c>
      <c r="AY149">
        <v>7</v>
      </c>
      <c r="AZ149">
        <v>9</v>
      </c>
      <c r="BC149">
        <v>147</v>
      </c>
      <c r="BD149">
        <v>13</v>
      </c>
      <c r="BE149">
        <v>13</v>
      </c>
      <c r="BF149">
        <v>13</v>
      </c>
      <c r="BG149">
        <v>13</v>
      </c>
      <c r="BH149">
        <v>16</v>
      </c>
      <c r="BK149" s="32">
        <v>147</v>
      </c>
      <c r="BL149">
        <v>10</v>
      </c>
      <c r="BM149">
        <v>1.5</v>
      </c>
    </row>
    <row r="150" spans="1:65" x14ac:dyDescent="0.45">
      <c r="A150" s="33"/>
      <c r="B150" s="32">
        <v>4</v>
      </c>
      <c r="C150" s="32">
        <v>148</v>
      </c>
      <c r="D150" s="32">
        <v>60</v>
      </c>
      <c r="E150" s="32">
        <v>48</v>
      </c>
      <c r="F150" s="32">
        <v>48</v>
      </c>
      <c r="G150" s="32"/>
      <c r="H150" s="32"/>
      <c r="I150" s="32"/>
      <c r="J150" s="32"/>
      <c r="K150" s="32"/>
      <c r="L150" s="32"/>
      <c r="M150" s="39"/>
      <c r="N150" s="43">
        <f t="shared" si="4"/>
        <v>3</v>
      </c>
      <c r="O150" s="33"/>
      <c r="P150" s="32">
        <v>4</v>
      </c>
      <c r="Q150" s="32">
        <v>148</v>
      </c>
      <c r="R150" s="32">
        <v>96</v>
      </c>
      <c r="S150" s="32">
        <v>60</v>
      </c>
      <c r="T150" s="32"/>
      <c r="U150" s="32"/>
      <c r="V150" s="32"/>
      <c r="W150" s="32"/>
      <c r="X150">
        <f t="shared" si="5"/>
        <v>2</v>
      </c>
      <c r="AC150">
        <v>148</v>
      </c>
      <c r="AD150">
        <v>240</v>
      </c>
      <c r="AE150">
        <v>240</v>
      </c>
      <c r="AF150">
        <v>480</v>
      </c>
      <c r="AI150">
        <v>148</v>
      </c>
      <c r="AJ150">
        <v>48</v>
      </c>
      <c r="AK150">
        <v>120</v>
      </c>
      <c r="AL150">
        <v>48</v>
      </c>
      <c r="AM150">
        <v>120</v>
      </c>
      <c r="AN150">
        <v>48</v>
      </c>
      <c r="AO150">
        <v>120</v>
      </c>
      <c r="AP150">
        <v>12</v>
      </c>
      <c r="AU150">
        <v>148</v>
      </c>
      <c r="AV150">
        <v>5</v>
      </c>
      <c r="AW150">
        <v>5</v>
      </c>
      <c r="AX150">
        <v>5</v>
      </c>
      <c r="AY150">
        <v>7</v>
      </c>
      <c r="AZ150">
        <v>9</v>
      </c>
      <c r="BC150">
        <v>148</v>
      </c>
      <c r="BD150">
        <v>13</v>
      </c>
      <c r="BE150">
        <v>13</v>
      </c>
      <c r="BF150">
        <v>13</v>
      </c>
      <c r="BG150">
        <v>13</v>
      </c>
      <c r="BH150">
        <v>16</v>
      </c>
      <c r="BK150" s="32">
        <v>148</v>
      </c>
      <c r="BL150">
        <v>10</v>
      </c>
      <c r="BM150">
        <v>1.5</v>
      </c>
    </row>
    <row r="151" spans="1:65" x14ac:dyDescent="0.45">
      <c r="A151" s="33"/>
      <c r="B151" s="32">
        <v>5</v>
      </c>
      <c r="C151" s="32">
        <v>149</v>
      </c>
      <c r="D151" s="32">
        <v>60</v>
      </c>
      <c r="E151" s="32">
        <v>48</v>
      </c>
      <c r="F151" s="32">
        <v>48</v>
      </c>
      <c r="G151" s="32"/>
      <c r="H151" s="32"/>
      <c r="I151" s="32"/>
      <c r="J151" s="32"/>
      <c r="K151" s="32"/>
      <c r="L151" s="32"/>
      <c r="M151" s="39"/>
      <c r="N151" s="43">
        <f t="shared" si="4"/>
        <v>3</v>
      </c>
      <c r="O151" s="33"/>
      <c r="P151" s="32">
        <v>5</v>
      </c>
      <c r="Q151" s="32">
        <v>149</v>
      </c>
      <c r="R151" s="32">
        <v>96</v>
      </c>
      <c r="S151" s="32">
        <v>60</v>
      </c>
      <c r="T151" s="32"/>
      <c r="U151" s="32"/>
      <c r="V151" s="32"/>
      <c r="W151" s="32"/>
      <c r="X151">
        <f t="shared" si="5"/>
        <v>2</v>
      </c>
      <c r="AC151">
        <v>149</v>
      </c>
      <c r="AD151">
        <v>240</v>
      </c>
      <c r="AE151">
        <v>240</v>
      </c>
      <c r="AF151">
        <v>480</v>
      </c>
      <c r="AI151">
        <v>149</v>
      </c>
      <c r="AJ151">
        <v>48</v>
      </c>
      <c r="AK151">
        <v>120</v>
      </c>
      <c r="AL151">
        <v>48</v>
      </c>
      <c r="AM151">
        <v>120</v>
      </c>
      <c r="AN151">
        <v>48</v>
      </c>
      <c r="AO151">
        <v>120</v>
      </c>
      <c r="AP151">
        <v>12</v>
      </c>
      <c r="AU151">
        <v>149</v>
      </c>
      <c r="AV151">
        <v>5</v>
      </c>
      <c r="AW151">
        <v>5</v>
      </c>
      <c r="AX151">
        <v>5</v>
      </c>
      <c r="AY151">
        <v>7</v>
      </c>
      <c r="AZ151">
        <v>9</v>
      </c>
      <c r="BC151">
        <v>149</v>
      </c>
      <c r="BD151">
        <v>13</v>
      </c>
      <c r="BE151">
        <v>13</v>
      </c>
      <c r="BF151">
        <v>13</v>
      </c>
      <c r="BG151">
        <v>13</v>
      </c>
      <c r="BH151">
        <v>16</v>
      </c>
      <c r="BK151" s="32">
        <v>149</v>
      </c>
      <c r="BL151">
        <v>10</v>
      </c>
      <c r="BM151">
        <v>1.5</v>
      </c>
    </row>
    <row r="152" spans="1:65" x14ac:dyDescent="0.45">
      <c r="A152" s="33"/>
      <c r="B152" s="32">
        <v>6</v>
      </c>
      <c r="C152" s="32">
        <v>150</v>
      </c>
      <c r="D152" s="32">
        <v>60</v>
      </c>
      <c r="E152" s="32">
        <v>48</v>
      </c>
      <c r="F152" s="32">
        <v>48</v>
      </c>
      <c r="G152" s="32"/>
      <c r="H152" s="32"/>
      <c r="I152" s="32"/>
      <c r="J152" s="32"/>
      <c r="K152" s="32"/>
      <c r="L152" s="32"/>
      <c r="M152" s="39"/>
      <c r="N152" s="43">
        <f t="shared" si="4"/>
        <v>3</v>
      </c>
      <c r="O152" s="33"/>
      <c r="P152" s="32">
        <v>6</v>
      </c>
      <c r="Q152" s="32">
        <v>150</v>
      </c>
      <c r="R152" s="32">
        <v>96</v>
      </c>
      <c r="S152" s="32">
        <v>60</v>
      </c>
      <c r="T152" s="32"/>
      <c r="U152" s="32"/>
      <c r="V152" s="32"/>
      <c r="W152" s="32"/>
      <c r="X152">
        <f t="shared" si="5"/>
        <v>2</v>
      </c>
      <c r="AC152">
        <v>150</v>
      </c>
      <c r="AD152">
        <v>240</v>
      </c>
      <c r="AE152">
        <v>240</v>
      </c>
      <c r="AF152">
        <v>480</v>
      </c>
      <c r="AI152">
        <v>150</v>
      </c>
      <c r="AJ152">
        <v>48</v>
      </c>
      <c r="AK152">
        <v>120</v>
      </c>
      <c r="AL152">
        <v>48</v>
      </c>
      <c r="AM152">
        <v>120</v>
      </c>
      <c r="AN152">
        <v>48</v>
      </c>
      <c r="AO152">
        <v>120</v>
      </c>
      <c r="AP152">
        <v>12</v>
      </c>
      <c r="AU152">
        <v>150</v>
      </c>
      <c r="AV152">
        <v>5</v>
      </c>
      <c r="AW152">
        <v>5</v>
      </c>
      <c r="AX152">
        <v>5</v>
      </c>
      <c r="AY152">
        <v>7</v>
      </c>
      <c r="AZ152">
        <v>9</v>
      </c>
      <c r="BC152">
        <v>150</v>
      </c>
      <c r="BD152">
        <v>13</v>
      </c>
      <c r="BE152">
        <v>13</v>
      </c>
      <c r="BF152">
        <v>13</v>
      </c>
      <c r="BG152">
        <v>13</v>
      </c>
      <c r="BH152">
        <v>16</v>
      </c>
      <c r="BK152" s="32">
        <v>150</v>
      </c>
      <c r="BL152">
        <v>10</v>
      </c>
      <c r="BM152">
        <v>1.5</v>
      </c>
    </row>
    <row r="153" spans="1:65" x14ac:dyDescent="0.45">
      <c r="A153" s="33"/>
      <c r="B153" s="32">
        <v>7</v>
      </c>
      <c r="C153" s="32">
        <v>151</v>
      </c>
      <c r="D153" s="32">
        <v>60</v>
      </c>
      <c r="E153" s="32">
        <v>48</v>
      </c>
      <c r="F153" s="32">
        <v>48</v>
      </c>
      <c r="G153" s="32"/>
      <c r="H153" s="32"/>
      <c r="I153" s="32"/>
      <c r="J153" s="32"/>
      <c r="K153" s="32"/>
      <c r="L153" s="32"/>
      <c r="M153" s="39"/>
      <c r="N153" s="43">
        <f t="shared" si="4"/>
        <v>3</v>
      </c>
      <c r="O153" s="33"/>
      <c r="P153" s="32">
        <v>7</v>
      </c>
      <c r="Q153" s="32">
        <v>151</v>
      </c>
      <c r="R153" s="32">
        <v>96</v>
      </c>
      <c r="S153" s="32">
        <v>60</v>
      </c>
      <c r="T153" s="32"/>
      <c r="U153" s="32"/>
      <c r="V153" s="32"/>
      <c r="W153" s="32"/>
      <c r="X153">
        <f t="shared" si="5"/>
        <v>2</v>
      </c>
      <c r="AC153">
        <v>151</v>
      </c>
      <c r="AD153">
        <v>248</v>
      </c>
      <c r="AE153">
        <v>248</v>
      </c>
      <c r="AF153">
        <v>480</v>
      </c>
      <c r="AI153">
        <v>151</v>
      </c>
      <c r="AJ153">
        <v>48</v>
      </c>
      <c r="AK153">
        <v>120</v>
      </c>
      <c r="AL153">
        <v>48</v>
      </c>
      <c r="AM153">
        <v>120</v>
      </c>
      <c r="AN153">
        <v>48</v>
      </c>
      <c r="AO153">
        <v>120</v>
      </c>
      <c r="AP153">
        <v>12</v>
      </c>
      <c r="AU153">
        <v>151</v>
      </c>
      <c r="AV153">
        <v>5</v>
      </c>
      <c r="AW153">
        <v>5</v>
      </c>
      <c r="AX153">
        <v>5</v>
      </c>
      <c r="AY153">
        <v>7</v>
      </c>
      <c r="AZ153">
        <v>9</v>
      </c>
      <c r="BC153">
        <v>151</v>
      </c>
      <c r="BD153">
        <v>13</v>
      </c>
      <c r="BE153">
        <v>13</v>
      </c>
      <c r="BF153">
        <v>13</v>
      </c>
      <c r="BG153">
        <v>13</v>
      </c>
      <c r="BH153">
        <v>16</v>
      </c>
      <c r="BK153" s="32">
        <v>151</v>
      </c>
      <c r="BL153">
        <v>10</v>
      </c>
      <c r="BM153">
        <v>1.5</v>
      </c>
    </row>
    <row r="154" spans="1:65" x14ac:dyDescent="0.45">
      <c r="A154" s="33"/>
      <c r="B154" s="32">
        <v>8</v>
      </c>
      <c r="C154" s="32">
        <v>152</v>
      </c>
      <c r="D154" s="32">
        <v>60</v>
      </c>
      <c r="E154" s="32">
        <v>48</v>
      </c>
      <c r="F154" s="32">
        <v>48</v>
      </c>
      <c r="G154" s="32"/>
      <c r="H154" s="32"/>
      <c r="I154" s="32"/>
      <c r="J154" s="32"/>
      <c r="K154" s="32"/>
      <c r="L154" s="32"/>
      <c r="M154" s="39"/>
      <c r="N154" s="43">
        <f t="shared" si="4"/>
        <v>3</v>
      </c>
      <c r="O154" s="33"/>
      <c r="P154" s="32">
        <v>8</v>
      </c>
      <c r="Q154" s="32">
        <v>152</v>
      </c>
      <c r="R154" s="32">
        <v>96</v>
      </c>
      <c r="S154" s="32">
        <v>60</v>
      </c>
      <c r="T154" s="32"/>
      <c r="U154" s="32"/>
      <c r="V154" s="32"/>
      <c r="W154" s="32"/>
      <c r="X154">
        <f t="shared" si="5"/>
        <v>2</v>
      </c>
      <c r="AC154">
        <v>152</v>
      </c>
      <c r="AD154">
        <v>248</v>
      </c>
      <c r="AE154">
        <v>248</v>
      </c>
      <c r="AF154">
        <v>480</v>
      </c>
      <c r="AI154">
        <v>152</v>
      </c>
      <c r="AJ154">
        <v>48</v>
      </c>
      <c r="AK154">
        <v>120</v>
      </c>
      <c r="AL154">
        <v>48</v>
      </c>
      <c r="AM154">
        <v>120</v>
      </c>
      <c r="AN154">
        <v>48</v>
      </c>
      <c r="AO154">
        <v>120</v>
      </c>
      <c r="AP154">
        <v>12</v>
      </c>
      <c r="AU154">
        <v>152</v>
      </c>
      <c r="AV154">
        <v>5</v>
      </c>
      <c r="AW154">
        <v>5</v>
      </c>
      <c r="AX154">
        <v>5</v>
      </c>
      <c r="AY154">
        <v>7</v>
      </c>
      <c r="AZ154">
        <v>9</v>
      </c>
      <c r="BC154">
        <v>152</v>
      </c>
      <c r="BD154">
        <v>13</v>
      </c>
      <c r="BE154">
        <v>13</v>
      </c>
      <c r="BF154">
        <v>13</v>
      </c>
      <c r="BG154">
        <v>13</v>
      </c>
      <c r="BH154">
        <v>16</v>
      </c>
      <c r="BK154" s="32">
        <v>152</v>
      </c>
      <c r="BL154">
        <v>10</v>
      </c>
      <c r="BM154">
        <v>1.5</v>
      </c>
    </row>
    <row r="155" spans="1:65" x14ac:dyDescent="0.45">
      <c r="A155" s="33"/>
      <c r="B155" s="32">
        <v>9</v>
      </c>
      <c r="C155" s="32">
        <v>153</v>
      </c>
      <c r="D155" s="32">
        <v>60</v>
      </c>
      <c r="E155" s="32">
        <v>48</v>
      </c>
      <c r="F155" s="32">
        <v>48</v>
      </c>
      <c r="G155" s="32"/>
      <c r="H155" s="32"/>
      <c r="I155" s="32"/>
      <c r="J155" s="32"/>
      <c r="K155" s="32"/>
      <c r="L155" s="32"/>
      <c r="M155" s="39"/>
      <c r="N155" s="43">
        <f t="shared" si="4"/>
        <v>3</v>
      </c>
      <c r="O155" s="33"/>
      <c r="P155" s="32">
        <v>9</v>
      </c>
      <c r="Q155" s="32">
        <v>153</v>
      </c>
      <c r="R155" s="32">
        <v>96</v>
      </c>
      <c r="S155" s="32">
        <v>60</v>
      </c>
      <c r="T155" s="32"/>
      <c r="U155" s="32"/>
      <c r="V155" s="32"/>
      <c r="W155" s="32"/>
      <c r="X155">
        <f t="shared" si="5"/>
        <v>2</v>
      </c>
      <c r="AC155">
        <v>153</v>
      </c>
      <c r="AD155">
        <v>248</v>
      </c>
      <c r="AE155">
        <v>248</v>
      </c>
      <c r="AF155">
        <v>240</v>
      </c>
      <c r="AG155">
        <v>360</v>
      </c>
      <c r="AI155">
        <v>153</v>
      </c>
      <c r="AJ155">
        <v>48</v>
      </c>
      <c r="AK155">
        <v>120</v>
      </c>
      <c r="AL155">
        <v>48</v>
      </c>
      <c r="AM155">
        <v>120</v>
      </c>
      <c r="AN155">
        <v>48</v>
      </c>
      <c r="AO155">
        <v>120</v>
      </c>
      <c r="AP155">
        <v>12</v>
      </c>
      <c r="AU155">
        <v>153</v>
      </c>
      <c r="AV155">
        <v>5</v>
      </c>
      <c r="AW155">
        <v>5</v>
      </c>
      <c r="AX155">
        <v>5</v>
      </c>
      <c r="AY155">
        <v>7</v>
      </c>
      <c r="AZ155">
        <v>9</v>
      </c>
      <c r="BC155">
        <v>153</v>
      </c>
      <c r="BD155">
        <v>13</v>
      </c>
      <c r="BE155">
        <v>13</v>
      </c>
      <c r="BF155">
        <v>13</v>
      </c>
      <c r="BG155">
        <v>13</v>
      </c>
      <c r="BH155">
        <v>16</v>
      </c>
      <c r="BK155" s="32">
        <v>153</v>
      </c>
      <c r="BL155">
        <v>10</v>
      </c>
      <c r="BM155">
        <v>1.5</v>
      </c>
    </row>
    <row r="156" spans="1:65" x14ac:dyDescent="0.45">
      <c r="A156" s="33"/>
      <c r="B156" s="32">
        <v>10</v>
      </c>
      <c r="C156" s="32">
        <v>154</v>
      </c>
      <c r="D156" s="32">
        <v>60</v>
      </c>
      <c r="E156" s="32">
        <v>48</v>
      </c>
      <c r="F156" s="32">
        <v>48</v>
      </c>
      <c r="G156" s="32"/>
      <c r="H156" s="32"/>
      <c r="I156" s="32"/>
      <c r="J156" s="32"/>
      <c r="K156" s="32"/>
      <c r="L156" s="32"/>
      <c r="M156" s="39"/>
      <c r="N156" s="43">
        <f t="shared" si="4"/>
        <v>3</v>
      </c>
      <c r="O156" s="33"/>
      <c r="P156" s="32">
        <v>10</v>
      </c>
      <c r="Q156" s="32">
        <v>154</v>
      </c>
      <c r="R156" s="32">
        <v>96</v>
      </c>
      <c r="S156" s="32">
        <v>60</v>
      </c>
      <c r="T156" s="32"/>
      <c r="U156" s="32"/>
      <c r="V156" s="32"/>
      <c r="W156" s="32"/>
      <c r="X156">
        <f t="shared" si="5"/>
        <v>2</v>
      </c>
      <c r="AC156">
        <v>154</v>
      </c>
      <c r="AD156">
        <v>248</v>
      </c>
      <c r="AE156">
        <v>248</v>
      </c>
      <c r="AF156">
        <v>240</v>
      </c>
      <c r="AG156">
        <v>360</v>
      </c>
      <c r="AI156">
        <v>154</v>
      </c>
      <c r="AJ156">
        <v>48</v>
      </c>
      <c r="AK156">
        <v>120</v>
      </c>
      <c r="AL156">
        <v>48</v>
      </c>
      <c r="AM156">
        <v>120</v>
      </c>
      <c r="AN156">
        <v>48</v>
      </c>
      <c r="AO156">
        <v>120</v>
      </c>
      <c r="AP156">
        <v>12</v>
      </c>
      <c r="AU156">
        <v>154</v>
      </c>
      <c r="AV156">
        <v>5</v>
      </c>
      <c r="AW156">
        <v>5</v>
      </c>
      <c r="AX156">
        <v>5</v>
      </c>
      <c r="AY156">
        <v>7</v>
      </c>
      <c r="AZ156">
        <v>9</v>
      </c>
      <c r="BC156">
        <v>154</v>
      </c>
      <c r="BD156">
        <v>13</v>
      </c>
      <c r="BE156">
        <v>13</v>
      </c>
      <c r="BF156">
        <v>13</v>
      </c>
      <c r="BG156">
        <v>13</v>
      </c>
      <c r="BH156">
        <v>16</v>
      </c>
      <c r="BK156" s="32">
        <v>154</v>
      </c>
      <c r="BL156">
        <v>10</v>
      </c>
      <c r="BM156">
        <v>1.5</v>
      </c>
    </row>
    <row r="157" spans="1:65" x14ac:dyDescent="0.45">
      <c r="A157" s="33"/>
      <c r="B157" s="32">
        <v>11</v>
      </c>
      <c r="C157" s="32">
        <v>155</v>
      </c>
      <c r="D157" s="32">
        <v>60</v>
      </c>
      <c r="E157" s="32">
        <v>48</v>
      </c>
      <c r="F157" s="32">
        <v>48</v>
      </c>
      <c r="G157" s="32"/>
      <c r="H157" s="32"/>
      <c r="I157" s="32"/>
      <c r="J157" s="32"/>
      <c r="K157" s="32"/>
      <c r="L157" s="32"/>
      <c r="M157" s="39"/>
      <c r="N157" s="43">
        <f t="shared" si="4"/>
        <v>3</v>
      </c>
      <c r="O157" s="33"/>
      <c r="P157" s="32">
        <v>11</v>
      </c>
      <c r="Q157" s="32">
        <v>155</v>
      </c>
      <c r="R157" s="32">
        <v>96</v>
      </c>
      <c r="S157" s="32">
        <v>60</v>
      </c>
      <c r="T157" s="32"/>
      <c r="U157" s="32"/>
      <c r="V157" s="32"/>
      <c r="W157" s="32"/>
      <c r="X157">
        <f t="shared" si="5"/>
        <v>2</v>
      </c>
      <c r="AC157">
        <v>155</v>
      </c>
      <c r="AD157">
        <v>248</v>
      </c>
      <c r="AE157">
        <v>248</v>
      </c>
      <c r="AF157">
        <v>240</v>
      </c>
      <c r="AG157">
        <v>360</v>
      </c>
      <c r="AI157">
        <v>155</v>
      </c>
      <c r="AJ157">
        <v>48</v>
      </c>
      <c r="AK157">
        <v>120</v>
      </c>
      <c r="AL157">
        <v>48</v>
      </c>
      <c r="AM157">
        <v>120</v>
      </c>
      <c r="AN157">
        <v>60</v>
      </c>
      <c r="AO157">
        <v>144</v>
      </c>
      <c r="AP157">
        <v>12</v>
      </c>
      <c r="AU157">
        <v>155</v>
      </c>
      <c r="AV157">
        <v>5</v>
      </c>
      <c r="AW157">
        <v>5</v>
      </c>
      <c r="AX157">
        <v>5</v>
      </c>
      <c r="AY157">
        <v>7</v>
      </c>
      <c r="AZ157">
        <v>9</v>
      </c>
      <c r="BC157">
        <v>155</v>
      </c>
      <c r="BD157">
        <v>13</v>
      </c>
      <c r="BE157">
        <v>13</v>
      </c>
      <c r="BF157">
        <v>13</v>
      </c>
      <c r="BG157">
        <v>13</v>
      </c>
      <c r="BH157">
        <v>16</v>
      </c>
      <c r="BK157" s="32">
        <v>155</v>
      </c>
      <c r="BL157">
        <v>10</v>
      </c>
      <c r="BM157">
        <v>1.5</v>
      </c>
    </row>
    <row r="158" spans="1:65" x14ac:dyDescent="0.45">
      <c r="A158" s="33">
        <v>13</v>
      </c>
      <c r="B158" s="32"/>
      <c r="C158" s="32">
        <v>156</v>
      </c>
      <c r="D158" s="32">
        <v>60</v>
      </c>
      <c r="E158" s="32">
        <v>48</v>
      </c>
      <c r="F158" s="32">
        <v>48</v>
      </c>
      <c r="G158" s="32"/>
      <c r="H158" s="32"/>
      <c r="I158" s="32"/>
      <c r="J158" s="32"/>
      <c r="K158" s="32"/>
      <c r="L158" s="32"/>
      <c r="M158" s="39"/>
      <c r="N158" s="43">
        <f t="shared" si="4"/>
        <v>3</v>
      </c>
      <c r="O158" s="33">
        <v>13</v>
      </c>
      <c r="P158" s="32"/>
      <c r="Q158" s="32">
        <v>156</v>
      </c>
      <c r="R158" s="32">
        <v>96</v>
      </c>
      <c r="S158" s="32">
        <v>60</v>
      </c>
      <c r="T158" s="32"/>
      <c r="U158" s="32"/>
      <c r="V158" s="32"/>
      <c r="W158" s="32"/>
      <c r="X158">
        <f t="shared" si="5"/>
        <v>2</v>
      </c>
      <c r="AC158">
        <v>156</v>
      </c>
      <c r="AD158">
        <v>248</v>
      </c>
      <c r="AE158">
        <v>248</v>
      </c>
      <c r="AF158">
        <v>240</v>
      </c>
      <c r="AG158">
        <v>360</v>
      </c>
      <c r="AI158">
        <v>156</v>
      </c>
      <c r="AJ158">
        <v>48</v>
      </c>
      <c r="AK158">
        <v>120</v>
      </c>
      <c r="AL158">
        <v>48</v>
      </c>
      <c r="AM158">
        <v>120</v>
      </c>
      <c r="AN158">
        <v>60</v>
      </c>
      <c r="AO158">
        <v>144</v>
      </c>
      <c r="AP158">
        <v>12</v>
      </c>
      <c r="AU158">
        <v>156</v>
      </c>
      <c r="AV158">
        <v>5</v>
      </c>
      <c r="AW158">
        <v>5</v>
      </c>
      <c r="AX158">
        <v>5</v>
      </c>
      <c r="AY158">
        <v>7</v>
      </c>
      <c r="AZ158">
        <v>9</v>
      </c>
      <c r="BC158">
        <v>156</v>
      </c>
      <c r="BD158">
        <v>13</v>
      </c>
      <c r="BE158">
        <v>13</v>
      </c>
      <c r="BF158">
        <v>13</v>
      </c>
      <c r="BG158">
        <v>13</v>
      </c>
      <c r="BH158">
        <v>16</v>
      </c>
      <c r="BK158" s="32">
        <v>156</v>
      </c>
      <c r="BL158">
        <v>10</v>
      </c>
      <c r="BM158">
        <v>1.5</v>
      </c>
    </row>
    <row r="159" spans="1:65" x14ac:dyDescent="0.45">
      <c r="A159" s="33"/>
      <c r="B159" s="32">
        <v>1</v>
      </c>
      <c r="C159" s="32">
        <v>157</v>
      </c>
      <c r="D159" s="32">
        <v>60</v>
      </c>
      <c r="E159" s="32">
        <v>60</v>
      </c>
      <c r="F159" s="32">
        <v>48</v>
      </c>
      <c r="G159" s="32"/>
      <c r="H159" s="32"/>
      <c r="I159" s="32"/>
      <c r="J159" s="32"/>
      <c r="K159" s="32"/>
      <c r="L159" s="32"/>
      <c r="M159" s="39"/>
      <c r="N159" s="43">
        <f t="shared" si="4"/>
        <v>3</v>
      </c>
      <c r="O159" s="33"/>
      <c r="P159" s="32">
        <v>1</v>
      </c>
      <c r="Q159" s="32">
        <v>157</v>
      </c>
      <c r="R159" s="32">
        <v>120</v>
      </c>
      <c r="S159" s="32">
        <v>48</v>
      </c>
      <c r="T159" s="32"/>
      <c r="U159" s="32"/>
      <c r="V159" s="32"/>
      <c r="W159" s="32"/>
      <c r="X159">
        <f t="shared" si="5"/>
        <v>2</v>
      </c>
      <c r="AC159">
        <v>157</v>
      </c>
      <c r="AD159">
        <v>258</v>
      </c>
      <c r="AE159">
        <v>258</v>
      </c>
      <c r="AF159">
        <v>240</v>
      </c>
      <c r="AG159">
        <v>360</v>
      </c>
      <c r="AI159">
        <v>157</v>
      </c>
      <c r="AJ159">
        <v>48</v>
      </c>
      <c r="AK159">
        <v>120</v>
      </c>
      <c r="AL159">
        <v>48</v>
      </c>
      <c r="AM159">
        <v>120</v>
      </c>
      <c r="AN159">
        <v>60</v>
      </c>
      <c r="AO159">
        <v>144</v>
      </c>
      <c r="AP159">
        <v>12</v>
      </c>
      <c r="AU159">
        <v>157</v>
      </c>
      <c r="AV159">
        <v>5</v>
      </c>
      <c r="AW159">
        <v>5</v>
      </c>
      <c r="AX159">
        <v>5</v>
      </c>
      <c r="AY159">
        <v>7</v>
      </c>
      <c r="AZ159">
        <v>9</v>
      </c>
      <c r="BC159">
        <v>157</v>
      </c>
      <c r="BD159">
        <v>13</v>
      </c>
      <c r="BE159">
        <v>13</v>
      </c>
      <c r="BF159">
        <v>13</v>
      </c>
      <c r="BG159">
        <v>13</v>
      </c>
      <c r="BH159">
        <v>16</v>
      </c>
      <c r="BK159" s="32">
        <v>157</v>
      </c>
      <c r="BL159">
        <v>10</v>
      </c>
      <c r="BM159">
        <v>1.5</v>
      </c>
    </row>
    <row r="160" spans="1:65" x14ac:dyDescent="0.45">
      <c r="A160" s="33"/>
      <c r="B160" s="32">
        <v>2</v>
      </c>
      <c r="C160" s="32">
        <v>158</v>
      </c>
      <c r="D160" s="32">
        <v>60</v>
      </c>
      <c r="E160" s="32">
        <v>60</v>
      </c>
      <c r="F160" s="32">
        <v>48</v>
      </c>
      <c r="G160" s="32"/>
      <c r="H160" s="32"/>
      <c r="I160" s="32"/>
      <c r="J160" s="32"/>
      <c r="K160" s="32"/>
      <c r="L160" s="32"/>
      <c r="M160" s="39"/>
      <c r="N160" s="43">
        <f t="shared" si="4"/>
        <v>3</v>
      </c>
      <c r="O160" s="33"/>
      <c r="P160" s="32">
        <v>2</v>
      </c>
      <c r="Q160" s="32">
        <v>158</v>
      </c>
      <c r="R160" s="32">
        <v>120</v>
      </c>
      <c r="S160" s="32">
        <v>48</v>
      </c>
      <c r="T160" s="32"/>
      <c r="U160" s="32"/>
      <c r="V160" s="32"/>
      <c r="W160" s="32"/>
      <c r="X160">
        <f t="shared" si="5"/>
        <v>2</v>
      </c>
      <c r="AC160">
        <v>158</v>
      </c>
      <c r="AD160">
        <v>258</v>
      </c>
      <c r="AE160">
        <v>258</v>
      </c>
      <c r="AF160">
        <v>240</v>
      </c>
      <c r="AG160">
        <v>360</v>
      </c>
      <c r="AI160">
        <v>158</v>
      </c>
      <c r="AJ160">
        <v>48</v>
      </c>
      <c r="AK160">
        <v>120</v>
      </c>
      <c r="AL160">
        <v>48</v>
      </c>
      <c r="AM160">
        <v>120</v>
      </c>
      <c r="AN160">
        <v>60</v>
      </c>
      <c r="AO160">
        <v>144</v>
      </c>
      <c r="AP160">
        <v>12</v>
      </c>
      <c r="AU160">
        <v>158</v>
      </c>
      <c r="AV160">
        <v>5</v>
      </c>
      <c r="AW160">
        <v>5</v>
      </c>
      <c r="AX160">
        <v>5</v>
      </c>
      <c r="AY160">
        <v>7</v>
      </c>
      <c r="AZ160">
        <v>9</v>
      </c>
      <c r="BC160">
        <v>158</v>
      </c>
      <c r="BD160">
        <v>13</v>
      </c>
      <c r="BE160">
        <v>13</v>
      </c>
      <c r="BF160">
        <v>13</v>
      </c>
      <c r="BG160">
        <v>13</v>
      </c>
      <c r="BH160">
        <v>16</v>
      </c>
      <c r="BK160" s="32">
        <v>158</v>
      </c>
      <c r="BL160">
        <v>10</v>
      </c>
      <c r="BM160">
        <v>1.5</v>
      </c>
    </row>
    <row r="161" spans="1:65" x14ac:dyDescent="0.45">
      <c r="A161" s="33"/>
      <c r="B161" s="32">
        <v>3</v>
      </c>
      <c r="C161" s="32">
        <v>159</v>
      </c>
      <c r="D161" s="32">
        <v>60</v>
      </c>
      <c r="E161" s="32">
        <v>60</v>
      </c>
      <c r="F161" s="32">
        <v>48</v>
      </c>
      <c r="G161" s="32"/>
      <c r="H161" s="32"/>
      <c r="I161" s="32"/>
      <c r="J161" s="32"/>
      <c r="K161" s="32"/>
      <c r="L161" s="32"/>
      <c r="M161" s="39"/>
      <c r="N161" s="43">
        <f t="shared" si="4"/>
        <v>3</v>
      </c>
      <c r="O161" s="33"/>
      <c r="P161" s="32">
        <v>3</v>
      </c>
      <c r="Q161" s="32">
        <v>159</v>
      </c>
      <c r="R161" s="32">
        <v>120</v>
      </c>
      <c r="S161" s="32">
        <v>48</v>
      </c>
      <c r="T161" s="32"/>
      <c r="U161" s="32"/>
      <c r="V161" s="32"/>
      <c r="W161" s="32"/>
      <c r="X161">
        <f t="shared" si="5"/>
        <v>2</v>
      </c>
      <c r="AC161">
        <v>159</v>
      </c>
      <c r="AD161">
        <v>258</v>
      </c>
      <c r="AE161">
        <v>258</v>
      </c>
      <c r="AF161">
        <v>240</v>
      </c>
      <c r="AG161">
        <v>360</v>
      </c>
      <c r="AI161">
        <v>159</v>
      </c>
      <c r="AJ161">
        <v>48</v>
      </c>
      <c r="AK161">
        <v>120</v>
      </c>
      <c r="AL161">
        <v>48</v>
      </c>
      <c r="AM161">
        <v>120</v>
      </c>
      <c r="AN161">
        <v>60</v>
      </c>
      <c r="AO161">
        <v>144</v>
      </c>
      <c r="AP161">
        <v>12</v>
      </c>
      <c r="AU161">
        <v>159</v>
      </c>
      <c r="AV161">
        <v>5</v>
      </c>
      <c r="AW161">
        <v>5</v>
      </c>
      <c r="AX161">
        <v>5</v>
      </c>
      <c r="AY161">
        <v>7</v>
      </c>
      <c r="AZ161">
        <v>9</v>
      </c>
      <c r="BC161">
        <v>159</v>
      </c>
      <c r="BD161">
        <v>13</v>
      </c>
      <c r="BE161">
        <v>13</v>
      </c>
      <c r="BF161">
        <v>13</v>
      </c>
      <c r="BG161">
        <v>13</v>
      </c>
      <c r="BH161">
        <v>16</v>
      </c>
      <c r="BK161" s="32">
        <v>159</v>
      </c>
      <c r="BL161">
        <v>10</v>
      </c>
      <c r="BM161">
        <v>1.5</v>
      </c>
    </row>
    <row r="162" spans="1:65" x14ac:dyDescent="0.45">
      <c r="A162" s="33"/>
      <c r="B162" s="32">
        <v>4</v>
      </c>
      <c r="C162" s="32">
        <v>160</v>
      </c>
      <c r="D162" s="32">
        <v>60</v>
      </c>
      <c r="E162" s="32">
        <v>60</v>
      </c>
      <c r="F162" s="32">
        <v>48</v>
      </c>
      <c r="G162" s="32"/>
      <c r="H162" s="32"/>
      <c r="I162" s="32"/>
      <c r="J162" s="32"/>
      <c r="K162" s="32"/>
      <c r="L162" s="32"/>
      <c r="M162" s="39"/>
      <c r="N162" s="43">
        <f t="shared" si="4"/>
        <v>3</v>
      </c>
      <c r="O162" s="33"/>
      <c r="P162" s="32">
        <v>4</v>
      </c>
      <c r="Q162" s="32">
        <v>160</v>
      </c>
      <c r="R162" s="32">
        <v>120</v>
      </c>
      <c r="S162" s="32">
        <v>48</v>
      </c>
      <c r="T162" s="32"/>
      <c r="U162" s="32"/>
      <c r="V162" s="32"/>
      <c r="W162" s="32"/>
      <c r="X162">
        <f t="shared" si="5"/>
        <v>2</v>
      </c>
      <c r="AC162">
        <v>160</v>
      </c>
      <c r="AD162">
        <v>258</v>
      </c>
      <c r="AE162">
        <v>258</v>
      </c>
      <c r="AF162">
        <v>240</v>
      </c>
      <c r="AG162">
        <v>360</v>
      </c>
      <c r="AI162">
        <v>160</v>
      </c>
      <c r="AJ162">
        <v>48</v>
      </c>
      <c r="AK162">
        <v>120</v>
      </c>
      <c r="AL162">
        <v>48</v>
      </c>
      <c r="AM162">
        <v>120</v>
      </c>
      <c r="AN162">
        <v>60</v>
      </c>
      <c r="AO162">
        <v>144</v>
      </c>
      <c r="AP162">
        <v>12</v>
      </c>
      <c r="AU162">
        <v>160</v>
      </c>
      <c r="AV162">
        <v>5</v>
      </c>
      <c r="AW162">
        <v>5</v>
      </c>
      <c r="AX162">
        <v>5</v>
      </c>
      <c r="AY162">
        <v>7</v>
      </c>
      <c r="AZ162">
        <v>9</v>
      </c>
      <c r="BC162">
        <v>160</v>
      </c>
      <c r="BD162">
        <v>13</v>
      </c>
      <c r="BE162">
        <v>13</v>
      </c>
      <c r="BF162">
        <v>13</v>
      </c>
      <c r="BG162">
        <v>13</v>
      </c>
      <c r="BH162">
        <v>16</v>
      </c>
      <c r="BK162" s="32">
        <v>160</v>
      </c>
      <c r="BL162">
        <v>10</v>
      </c>
      <c r="BM162">
        <v>1.5</v>
      </c>
    </row>
    <row r="163" spans="1:65" x14ac:dyDescent="0.45">
      <c r="A163" s="33"/>
      <c r="B163" s="32">
        <v>5</v>
      </c>
      <c r="C163" s="32">
        <v>161</v>
      </c>
      <c r="D163" s="32">
        <v>60</v>
      </c>
      <c r="E163" s="32">
        <v>60</v>
      </c>
      <c r="F163" s="32">
        <v>48</v>
      </c>
      <c r="G163" s="32"/>
      <c r="H163" s="32"/>
      <c r="I163" s="32"/>
      <c r="J163" s="32"/>
      <c r="K163" s="32"/>
      <c r="L163" s="32"/>
      <c r="M163" s="39"/>
      <c r="N163" s="43">
        <f t="shared" si="4"/>
        <v>3</v>
      </c>
      <c r="O163" s="33"/>
      <c r="P163" s="32">
        <v>5</v>
      </c>
      <c r="Q163" s="32">
        <v>161</v>
      </c>
      <c r="R163" s="32">
        <v>120</v>
      </c>
      <c r="S163" s="32">
        <v>48</v>
      </c>
      <c r="T163" s="32"/>
      <c r="U163" s="32"/>
      <c r="V163" s="32"/>
      <c r="W163" s="32"/>
      <c r="X163">
        <f t="shared" si="5"/>
        <v>2</v>
      </c>
      <c r="AC163">
        <v>161</v>
      </c>
      <c r="AD163">
        <v>258</v>
      </c>
      <c r="AE163">
        <v>258</v>
      </c>
      <c r="AF163">
        <v>240</v>
      </c>
      <c r="AG163">
        <v>360</v>
      </c>
      <c r="AI163">
        <v>161</v>
      </c>
      <c r="AJ163">
        <v>48</v>
      </c>
      <c r="AK163">
        <v>144</v>
      </c>
      <c r="AL163">
        <v>48</v>
      </c>
      <c r="AM163">
        <v>120</v>
      </c>
      <c r="AN163">
        <v>60</v>
      </c>
      <c r="AO163">
        <v>144</v>
      </c>
      <c r="AP163">
        <v>12</v>
      </c>
      <c r="AU163">
        <v>161</v>
      </c>
      <c r="AV163">
        <v>5</v>
      </c>
      <c r="AW163">
        <v>5</v>
      </c>
      <c r="AX163">
        <v>5</v>
      </c>
      <c r="AY163">
        <v>7</v>
      </c>
      <c r="AZ163">
        <v>9</v>
      </c>
      <c r="BC163">
        <v>161</v>
      </c>
      <c r="BD163">
        <v>13</v>
      </c>
      <c r="BE163">
        <v>13</v>
      </c>
      <c r="BF163">
        <v>13</v>
      </c>
      <c r="BG163">
        <v>13</v>
      </c>
      <c r="BH163">
        <v>16</v>
      </c>
      <c r="BK163" s="32">
        <v>161</v>
      </c>
      <c r="BL163">
        <v>10</v>
      </c>
      <c r="BM163">
        <v>1.5</v>
      </c>
    </row>
    <row r="164" spans="1:65" x14ac:dyDescent="0.45">
      <c r="A164" s="33"/>
      <c r="B164" s="32">
        <v>6</v>
      </c>
      <c r="C164" s="32">
        <v>162</v>
      </c>
      <c r="D164" s="32">
        <v>60</v>
      </c>
      <c r="E164" s="32">
        <v>60</v>
      </c>
      <c r="F164" s="32">
        <v>48</v>
      </c>
      <c r="G164" s="32"/>
      <c r="H164" s="32"/>
      <c r="I164" s="32"/>
      <c r="J164" s="32"/>
      <c r="K164" s="32"/>
      <c r="L164" s="32"/>
      <c r="M164" s="39"/>
      <c r="N164" s="43">
        <f t="shared" si="4"/>
        <v>3</v>
      </c>
      <c r="O164" s="33"/>
      <c r="P164" s="32">
        <v>6</v>
      </c>
      <c r="Q164" s="32">
        <v>162</v>
      </c>
      <c r="R164" s="32">
        <v>120</v>
      </c>
      <c r="S164" s="32">
        <v>48</v>
      </c>
      <c r="T164" s="32"/>
      <c r="U164" s="32"/>
      <c r="V164" s="32"/>
      <c r="W164" s="32"/>
      <c r="X164">
        <f t="shared" si="5"/>
        <v>2</v>
      </c>
      <c r="AC164">
        <v>162</v>
      </c>
      <c r="AD164">
        <v>258</v>
      </c>
      <c r="AE164">
        <v>258</v>
      </c>
      <c r="AF164">
        <v>240</v>
      </c>
      <c r="AG164">
        <v>360</v>
      </c>
      <c r="AI164">
        <v>162</v>
      </c>
      <c r="AJ164">
        <v>48</v>
      </c>
      <c r="AK164">
        <v>144</v>
      </c>
      <c r="AL164">
        <v>48</v>
      </c>
      <c r="AM164">
        <v>120</v>
      </c>
      <c r="AN164">
        <v>60</v>
      </c>
      <c r="AO164">
        <v>144</v>
      </c>
      <c r="AP164">
        <v>12</v>
      </c>
      <c r="AU164">
        <v>162</v>
      </c>
      <c r="AV164">
        <v>5</v>
      </c>
      <c r="AW164">
        <v>5</v>
      </c>
      <c r="AX164">
        <v>5</v>
      </c>
      <c r="AY164">
        <v>7</v>
      </c>
      <c r="AZ164">
        <v>9</v>
      </c>
      <c r="BC164">
        <v>162</v>
      </c>
      <c r="BD164">
        <v>13</v>
      </c>
      <c r="BE164">
        <v>13</v>
      </c>
      <c r="BF164">
        <v>13</v>
      </c>
      <c r="BG164">
        <v>13</v>
      </c>
      <c r="BH164">
        <v>16</v>
      </c>
      <c r="BK164" s="32">
        <v>162</v>
      </c>
      <c r="BL164">
        <v>10</v>
      </c>
      <c r="BM164">
        <v>1.5</v>
      </c>
    </row>
    <row r="165" spans="1:65" x14ac:dyDescent="0.45">
      <c r="A165" s="33"/>
      <c r="B165" s="32">
        <v>7</v>
      </c>
      <c r="C165" s="32">
        <v>163</v>
      </c>
      <c r="D165" s="32">
        <v>60</v>
      </c>
      <c r="E165" s="32">
        <v>60</v>
      </c>
      <c r="F165" s="32">
        <v>48</v>
      </c>
      <c r="G165" s="32"/>
      <c r="H165" s="32"/>
      <c r="I165" s="32"/>
      <c r="J165" s="32"/>
      <c r="K165" s="32"/>
      <c r="L165" s="32"/>
      <c r="M165" s="39"/>
      <c r="N165" s="43">
        <f t="shared" si="4"/>
        <v>3</v>
      </c>
      <c r="O165" s="33"/>
      <c r="P165" s="32">
        <v>7</v>
      </c>
      <c r="Q165" s="32">
        <v>163</v>
      </c>
      <c r="R165" s="32">
        <v>120</v>
      </c>
      <c r="S165" s="32">
        <v>48</v>
      </c>
      <c r="T165" s="32"/>
      <c r="U165" s="32"/>
      <c r="V165" s="32"/>
      <c r="W165" s="32"/>
      <c r="X165">
        <f t="shared" si="5"/>
        <v>2</v>
      </c>
      <c r="AC165">
        <v>163</v>
      </c>
      <c r="AD165">
        <v>267</v>
      </c>
      <c r="AE165">
        <v>267</v>
      </c>
      <c r="AF165">
        <v>240</v>
      </c>
      <c r="AG165">
        <v>360</v>
      </c>
      <c r="AI165">
        <v>163</v>
      </c>
      <c r="AJ165">
        <v>48</v>
      </c>
      <c r="AK165">
        <v>144</v>
      </c>
      <c r="AL165">
        <v>48</v>
      </c>
      <c r="AM165">
        <v>144</v>
      </c>
      <c r="AN165">
        <v>60</v>
      </c>
      <c r="AO165">
        <v>144</v>
      </c>
      <c r="AP165">
        <v>12</v>
      </c>
      <c r="AU165">
        <v>163</v>
      </c>
      <c r="AV165">
        <v>5</v>
      </c>
      <c r="AW165">
        <v>5</v>
      </c>
      <c r="AX165">
        <v>5</v>
      </c>
      <c r="AY165">
        <v>7</v>
      </c>
      <c r="AZ165">
        <v>9</v>
      </c>
      <c r="BC165">
        <v>163</v>
      </c>
      <c r="BD165">
        <v>13</v>
      </c>
      <c r="BE165">
        <v>13</v>
      </c>
      <c r="BF165">
        <v>13</v>
      </c>
      <c r="BG165">
        <v>13</v>
      </c>
      <c r="BH165">
        <v>16</v>
      </c>
      <c r="BK165" s="32">
        <v>163</v>
      </c>
      <c r="BL165">
        <v>10</v>
      </c>
      <c r="BM165">
        <v>1.5</v>
      </c>
    </row>
    <row r="166" spans="1:65" x14ac:dyDescent="0.45">
      <c r="A166" s="33"/>
      <c r="B166" s="32">
        <v>8</v>
      </c>
      <c r="C166" s="32">
        <v>164</v>
      </c>
      <c r="D166" s="32">
        <v>60</v>
      </c>
      <c r="E166" s="32">
        <v>60</v>
      </c>
      <c r="F166" s="32">
        <v>48</v>
      </c>
      <c r="G166" s="32"/>
      <c r="H166" s="32"/>
      <c r="I166" s="32"/>
      <c r="J166" s="32"/>
      <c r="K166" s="32"/>
      <c r="L166" s="32"/>
      <c r="M166" s="39"/>
      <c r="N166" s="43">
        <f t="shared" si="4"/>
        <v>3</v>
      </c>
      <c r="O166" s="33"/>
      <c r="P166" s="32">
        <v>8</v>
      </c>
      <c r="Q166" s="32">
        <v>164</v>
      </c>
      <c r="R166" s="32">
        <v>120</v>
      </c>
      <c r="S166" s="32">
        <v>48</v>
      </c>
      <c r="T166" s="32"/>
      <c r="U166" s="32"/>
      <c r="V166" s="32"/>
      <c r="W166" s="32"/>
      <c r="X166">
        <f t="shared" si="5"/>
        <v>2</v>
      </c>
      <c r="AC166">
        <v>164</v>
      </c>
      <c r="AD166">
        <v>267</v>
      </c>
      <c r="AE166">
        <v>267</v>
      </c>
      <c r="AF166">
        <v>240</v>
      </c>
      <c r="AG166">
        <v>360</v>
      </c>
      <c r="AI166">
        <v>164</v>
      </c>
      <c r="AJ166">
        <v>48</v>
      </c>
      <c r="AK166">
        <v>144</v>
      </c>
      <c r="AL166">
        <v>48</v>
      </c>
      <c r="AM166">
        <v>144</v>
      </c>
      <c r="AN166">
        <v>60</v>
      </c>
      <c r="AO166">
        <v>144</v>
      </c>
      <c r="AP166">
        <v>12</v>
      </c>
      <c r="AU166">
        <v>164</v>
      </c>
      <c r="AV166">
        <v>5</v>
      </c>
      <c r="AW166">
        <v>5</v>
      </c>
      <c r="AX166">
        <v>5</v>
      </c>
      <c r="AY166">
        <v>7</v>
      </c>
      <c r="AZ166">
        <v>9</v>
      </c>
      <c r="BC166">
        <v>164</v>
      </c>
      <c r="BD166">
        <v>13</v>
      </c>
      <c r="BE166">
        <v>13</v>
      </c>
      <c r="BF166">
        <v>13</v>
      </c>
      <c r="BG166">
        <v>13</v>
      </c>
      <c r="BH166">
        <v>16</v>
      </c>
      <c r="BK166" s="32">
        <v>164</v>
      </c>
      <c r="BL166">
        <v>10</v>
      </c>
      <c r="BM166">
        <v>1.5</v>
      </c>
    </row>
    <row r="167" spans="1:65" x14ac:dyDescent="0.45">
      <c r="A167" s="33"/>
      <c r="B167" s="32">
        <v>9</v>
      </c>
      <c r="C167" s="32">
        <v>165</v>
      </c>
      <c r="D167" s="32">
        <v>60</v>
      </c>
      <c r="E167" s="32">
        <v>60</v>
      </c>
      <c r="F167" s="32">
        <v>48</v>
      </c>
      <c r="G167" s="32"/>
      <c r="H167" s="32"/>
      <c r="I167" s="32"/>
      <c r="J167" s="32"/>
      <c r="K167" s="32"/>
      <c r="L167" s="32"/>
      <c r="M167" s="39"/>
      <c r="N167" s="43">
        <f t="shared" si="4"/>
        <v>3</v>
      </c>
      <c r="O167" s="33"/>
      <c r="P167" s="32">
        <v>9</v>
      </c>
      <c r="Q167" s="32">
        <v>165</v>
      </c>
      <c r="R167" s="32">
        <v>120</v>
      </c>
      <c r="S167" s="32">
        <v>48</v>
      </c>
      <c r="T167" s="32"/>
      <c r="U167" s="32"/>
      <c r="V167" s="32"/>
      <c r="W167" s="32"/>
      <c r="X167">
        <f t="shared" si="5"/>
        <v>2</v>
      </c>
      <c r="AC167">
        <v>165</v>
      </c>
      <c r="AD167">
        <v>267</v>
      </c>
      <c r="AE167">
        <v>267</v>
      </c>
      <c r="AF167">
        <v>240</v>
      </c>
      <c r="AG167">
        <v>360</v>
      </c>
      <c r="AI167">
        <v>165</v>
      </c>
      <c r="AJ167">
        <v>48</v>
      </c>
      <c r="AK167">
        <v>144</v>
      </c>
      <c r="AL167">
        <v>48</v>
      </c>
      <c r="AM167">
        <v>144</v>
      </c>
      <c r="AN167">
        <v>60</v>
      </c>
      <c r="AO167">
        <v>144</v>
      </c>
      <c r="AP167">
        <v>12</v>
      </c>
      <c r="AU167">
        <v>165</v>
      </c>
      <c r="AV167">
        <v>5</v>
      </c>
      <c r="AW167">
        <v>5</v>
      </c>
      <c r="AX167">
        <v>5</v>
      </c>
      <c r="AY167">
        <v>7</v>
      </c>
      <c r="AZ167">
        <v>9</v>
      </c>
      <c r="BC167">
        <v>165</v>
      </c>
      <c r="BD167">
        <v>13</v>
      </c>
      <c r="BE167">
        <v>13</v>
      </c>
      <c r="BF167">
        <v>13</v>
      </c>
      <c r="BG167">
        <v>13</v>
      </c>
      <c r="BH167">
        <v>16</v>
      </c>
      <c r="BK167" s="32">
        <v>165</v>
      </c>
      <c r="BL167">
        <v>10</v>
      </c>
      <c r="BM167">
        <v>1.5</v>
      </c>
    </row>
    <row r="168" spans="1:65" x14ac:dyDescent="0.45">
      <c r="A168" s="33"/>
      <c r="B168" s="32">
        <v>10</v>
      </c>
      <c r="C168" s="32">
        <v>166</v>
      </c>
      <c r="D168" s="32">
        <v>60</v>
      </c>
      <c r="E168" s="32">
        <v>60</v>
      </c>
      <c r="F168" s="32">
        <v>48</v>
      </c>
      <c r="G168" s="32"/>
      <c r="H168" s="32"/>
      <c r="I168" s="32"/>
      <c r="J168" s="32"/>
      <c r="K168" s="32"/>
      <c r="L168" s="32"/>
      <c r="M168" s="39"/>
      <c r="N168" s="43">
        <f t="shared" si="4"/>
        <v>3</v>
      </c>
      <c r="O168" s="33"/>
      <c r="P168" s="32">
        <v>10</v>
      </c>
      <c r="Q168" s="32">
        <v>166</v>
      </c>
      <c r="R168" s="32">
        <v>120</v>
      </c>
      <c r="S168" s="32">
        <v>48</v>
      </c>
      <c r="T168" s="32"/>
      <c r="U168" s="32"/>
      <c r="V168" s="32"/>
      <c r="W168" s="32"/>
      <c r="X168">
        <f t="shared" si="5"/>
        <v>2</v>
      </c>
      <c r="AC168">
        <v>166</v>
      </c>
      <c r="AD168">
        <v>267</v>
      </c>
      <c r="AE168">
        <v>267</v>
      </c>
      <c r="AF168">
        <v>240</v>
      </c>
      <c r="AG168">
        <v>360</v>
      </c>
      <c r="AI168">
        <v>166</v>
      </c>
      <c r="AJ168">
        <v>48</v>
      </c>
      <c r="AK168">
        <v>144</v>
      </c>
      <c r="AL168">
        <v>48</v>
      </c>
      <c r="AM168">
        <v>144</v>
      </c>
      <c r="AN168">
        <v>60</v>
      </c>
      <c r="AO168">
        <v>144</v>
      </c>
      <c r="AP168">
        <v>12</v>
      </c>
      <c r="AU168">
        <v>166</v>
      </c>
      <c r="AV168">
        <v>5</v>
      </c>
      <c r="AW168">
        <v>5</v>
      </c>
      <c r="AX168">
        <v>5</v>
      </c>
      <c r="AY168">
        <v>7</v>
      </c>
      <c r="AZ168">
        <v>9</v>
      </c>
      <c r="BC168">
        <v>166</v>
      </c>
      <c r="BD168">
        <v>13</v>
      </c>
      <c r="BE168">
        <v>13</v>
      </c>
      <c r="BF168">
        <v>13</v>
      </c>
      <c r="BG168">
        <v>13</v>
      </c>
      <c r="BH168">
        <v>16</v>
      </c>
      <c r="BK168" s="32">
        <v>166</v>
      </c>
      <c r="BL168">
        <v>10</v>
      </c>
      <c r="BM168">
        <v>1.5</v>
      </c>
    </row>
    <row r="169" spans="1:65" x14ac:dyDescent="0.45">
      <c r="A169" s="33"/>
      <c r="B169" s="32">
        <v>11</v>
      </c>
      <c r="C169" s="32">
        <v>167</v>
      </c>
      <c r="D169" s="32">
        <v>60</v>
      </c>
      <c r="E169" s="32">
        <v>60</v>
      </c>
      <c r="F169" s="32">
        <v>48</v>
      </c>
      <c r="G169" s="32"/>
      <c r="H169" s="32"/>
      <c r="I169" s="32"/>
      <c r="J169" s="32"/>
      <c r="K169" s="32"/>
      <c r="L169" s="32"/>
      <c r="M169" s="39"/>
      <c r="N169" s="43">
        <f t="shared" si="4"/>
        <v>3</v>
      </c>
      <c r="O169" s="33"/>
      <c r="P169" s="32">
        <v>11</v>
      </c>
      <c r="Q169" s="32">
        <v>167</v>
      </c>
      <c r="R169" s="32">
        <v>120</v>
      </c>
      <c r="S169" s="32">
        <v>48</v>
      </c>
      <c r="T169" s="32"/>
      <c r="U169" s="32"/>
      <c r="V169" s="32"/>
      <c r="W169" s="32"/>
      <c r="X169">
        <f t="shared" si="5"/>
        <v>2</v>
      </c>
      <c r="AC169">
        <v>167</v>
      </c>
      <c r="AD169">
        <v>267</v>
      </c>
      <c r="AE169">
        <v>267</v>
      </c>
      <c r="AF169">
        <v>240</v>
      </c>
      <c r="AG169">
        <v>360</v>
      </c>
      <c r="AI169">
        <v>167</v>
      </c>
      <c r="AJ169">
        <v>48</v>
      </c>
      <c r="AK169">
        <v>144</v>
      </c>
      <c r="AL169">
        <v>48</v>
      </c>
      <c r="AM169">
        <v>144</v>
      </c>
      <c r="AN169">
        <v>60</v>
      </c>
      <c r="AO169">
        <v>144</v>
      </c>
      <c r="AP169">
        <v>12</v>
      </c>
      <c r="AU169">
        <v>167</v>
      </c>
      <c r="AV169">
        <v>5</v>
      </c>
      <c r="AW169">
        <v>5</v>
      </c>
      <c r="AX169">
        <v>5</v>
      </c>
      <c r="AY169">
        <v>7</v>
      </c>
      <c r="AZ169">
        <v>9</v>
      </c>
      <c r="BC169">
        <v>167</v>
      </c>
      <c r="BD169">
        <v>13</v>
      </c>
      <c r="BE169">
        <v>13</v>
      </c>
      <c r="BF169">
        <v>13</v>
      </c>
      <c r="BG169">
        <v>13</v>
      </c>
      <c r="BH169">
        <v>16</v>
      </c>
      <c r="BK169" s="32">
        <v>167</v>
      </c>
      <c r="BL169">
        <v>10</v>
      </c>
      <c r="BM169">
        <v>1.5</v>
      </c>
    </row>
    <row r="170" spans="1:65" x14ac:dyDescent="0.45">
      <c r="A170" s="33">
        <v>14</v>
      </c>
      <c r="B170" s="32"/>
      <c r="C170" s="32">
        <v>168</v>
      </c>
      <c r="D170" s="32">
        <v>60</v>
      </c>
      <c r="E170" s="32">
        <v>60</v>
      </c>
      <c r="F170" s="32">
        <v>48</v>
      </c>
      <c r="G170" s="32"/>
      <c r="H170" s="32"/>
      <c r="I170" s="32"/>
      <c r="J170" s="32"/>
      <c r="K170" s="32"/>
      <c r="L170" s="32"/>
      <c r="M170" s="39"/>
      <c r="N170" s="43">
        <f t="shared" si="4"/>
        <v>3</v>
      </c>
      <c r="O170" s="33">
        <v>14</v>
      </c>
      <c r="P170" s="32"/>
      <c r="Q170" s="32">
        <v>168</v>
      </c>
      <c r="R170" s="32">
        <v>120</v>
      </c>
      <c r="S170" s="32">
        <v>48</v>
      </c>
      <c r="T170" s="32"/>
      <c r="U170" s="32"/>
      <c r="V170" s="32"/>
      <c r="W170" s="32"/>
      <c r="X170">
        <f t="shared" si="5"/>
        <v>2</v>
      </c>
      <c r="AC170">
        <v>168</v>
      </c>
      <c r="AD170">
        <v>267</v>
      </c>
      <c r="AE170">
        <v>267</v>
      </c>
      <c r="AF170">
        <v>240</v>
      </c>
      <c r="AG170">
        <v>360</v>
      </c>
      <c r="AI170">
        <v>168</v>
      </c>
      <c r="AJ170">
        <v>48</v>
      </c>
      <c r="AK170">
        <v>144</v>
      </c>
      <c r="AL170">
        <v>48</v>
      </c>
      <c r="AM170">
        <v>144</v>
      </c>
      <c r="AN170">
        <v>60</v>
      </c>
      <c r="AO170">
        <v>144</v>
      </c>
      <c r="AP170">
        <v>12</v>
      </c>
      <c r="AU170">
        <v>168</v>
      </c>
      <c r="AV170">
        <v>5</v>
      </c>
      <c r="AW170">
        <v>5</v>
      </c>
      <c r="AX170">
        <v>5</v>
      </c>
      <c r="AY170">
        <v>7</v>
      </c>
      <c r="AZ170">
        <v>9</v>
      </c>
      <c r="BC170">
        <v>168</v>
      </c>
      <c r="BD170">
        <v>13</v>
      </c>
      <c r="BE170">
        <v>13</v>
      </c>
      <c r="BF170">
        <v>13</v>
      </c>
      <c r="BG170">
        <v>13</v>
      </c>
      <c r="BH170">
        <v>16</v>
      </c>
      <c r="BK170" s="32">
        <v>168</v>
      </c>
      <c r="BL170">
        <v>10</v>
      </c>
      <c r="BM170">
        <v>1.5</v>
      </c>
    </row>
    <row r="171" spans="1:65" x14ac:dyDescent="0.45">
      <c r="A171" s="33"/>
      <c r="B171" s="32">
        <v>1</v>
      </c>
      <c r="C171" s="32">
        <v>169</v>
      </c>
      <c r="D171" s="32">
        <v>60</v>
      </c>
      <c r="E171" s="32">
        <v>60</v>
      </c>
      <c r="F171" s="32">
        <v>60</v>
      </c>
      <c r="G171" s="32"/>
      <c r="H171" s="32"/>
      <c r="I171" s="32"/>
      <c r="J171" s="32"/>
      <c r="K171" s="32"/>
      <c r="L171" s="32"/>
      <c r="M171" s="39"/>
      <c r="N171" s="43">
        <f t="shared" si="4"/>
        <v>3</v>
      </c>
      <c r="O171" s="33"/>
      <c r="P171" s="32">
        <v>1</v>
      </c>
      <c r="Q171" s="32">
        <v>169</v>
      </c>
      <c r="R171" s="32">
        <v>120</v>
      </c>
      <c r="S171" s="32">
        <v>60</v>
      </c>
      <c r="T171" s="32"/>
      <c r="U171" s="32"/>
      <c r="V171" s="32"/>
      <c r="W171" s="32"/>
      <c r="X171">
        <f t="shared" si="5"/>
        <v>2</v>
      </c>
      <c r="AC171">
        <v>169</v>
      </c>
      <c r="AD171">
        <v>277</v>
      </c>
      <c r="AE171">
        <v>277</v>
      </c>
      <c r="AF171">
        <v>240</v>
      </c>
      <c r="AG171">
        <v>360</v>
      </c>
      <c r="AI171">
        <v>169</v>
      </c>
      <c r="AJ171">
        <v>48</v>
      </c>
      <c r="AK171">
        <v>144</v>
      </c>
      <c r="AL171">
        <v>48</v>
      </c>
      <c r="AM171">
        <v>144</v>
      </c>
      <c r="AN171">
        <v>60</v>
      </c>
      <c r="AO171">
        <v>144</v>
      </c>
      <c r="AP171">
        <v>14</v>
      </c>
      <c r="AU171">
        <v>169</v>
      </c>
      <c r="AV171">
        <v>5</v>
      </c>
      <c r="AW171">
        <v>5</v>
      </c>
      <c r="AX171">
        <v>5</v>
      </c>
      <c r="AY171">
        <v>7</v>
      </c>
      <c r="AZ171">
        <v>9</v>
      </c>
      <c r="BC171">
        <v>169</v>
      </c>
      <c r="BD171">
        <v>14</v>
      </c>
      <c r="BE171">
        <v>14</v>
      </c>
      <c r="BF171">
        <v>14</v>
      </c>
      <c r="BG171">
        <v>14</v>
      </c>
      <c r="BH171">
        <v>17</v>
      </c>
      <c r="BK171" s="32">
        <v>169</v>
      </c>
      <c r="BL171">
        <v>10</v>
      </c>
      <c r="BM171">
        <v>1.5</v>
      </c>
    </row>
    <row r="172" spans="1:65" x14ac:dyDescent="0.45">
      <c r="A172" s="33"/>
      <c r="B172" s="32">
        <v>2</v>
      </c>
      <c r="C172" s="32">
        <v>170</v>
      </c>
      <c r="D172" s="32">
        <v>60</v>
      </c>
      <c r="E172" s="32">
        <v>60</v>
      </c>
      <c r="F172" s="32">
        <v>60</v>
      </c>
      <c r="G172" s="32"/>
      <c r="H172" s="32"/>
      <c r="I172" s="32"/>
      <c r="J172" s="32"/>
      <c r="K172" s="32"/>
      <c r="L172" s="32"/>
      <c r="M172" s="39"/>
      <c r="N172" s="43">
        <f t="shared" si="4"/>
        <v>3</v>
      </c>
      <c r="O172" s="33"/>
      <c r="P172" s="32">
        <v>2</v>
      </c>
      <c r="Q172" s="32">
        <v>170</v>
      </c>
      <c r="R172" s="32">
        <v>120</v>
      </c>
      <c r="S172" s="32">
        <v>60</v>
      </c>
      <c r="T172" s="32"/>
      <c r="U172" s="32"/>
      <c r="V172" s="32"/>
      <c r="W172" s="32"/>
      <c r="X172">
        <f t="shared" si="5"/>
        <v>2</v>
      </c>
      <c r="AC172">
        <v>170</v>
      </c>
      <c r="AD172">
        <v>277</v>
      </c>
      <c r="AE172">
        <v>277</v>
      </c>
      <c r="AF172">
        <v>240</v>
      </c>
      <c r="AG172">
        <v>360</v>
      </c>
      <c r="AI172">
        <v>170</v>
      </c>
      <c r="AJ172">
        <v>48</v>
      </c>
      <c r="AK172">
        <v>144</v>
      </c>
      <c r="AL172">
        <v>48</v>
      </c>
      <c r="AM172">
        <v>144</v>
      </c>
      <c r="AN172">
        <v>60</v>
      </c>
      <c r="AO172">
        <v>144</v>
      </c>
      <c r="AP172">
        <v>14</v>
      </c>
      <c r="AU172">
        <v>170</v>
      </c>
      <c r="AV172">
        <v>5</v>
      </c>
      <c r="AW172">
        <v>5</v>
      </c>
      <c r="AX172">
        <v>5</v>
      </c>
      <c r="AY172">
        <v>7</v>
      </c>
      <c r="AZ172">
        <v>9</v>
      </c>
      <c r="BC172">
        <v>170</v>
      </c>
      <c r="BD172">
        <v>14</v>
      </c>
      <c r="BE172">
        <v>14</v>
      </c>
      <c r="BF172">
        <v>14</v>
      </c>
      <c r="BG172">
        <v>14</v>
      </c>
      <c r="BH172">
        <v>17</v>
      </c>
      <c r="BK172" s="32">
        <v>170</v>
      </c>
      <c r="BL172">
        <v>10</v>
      </c>
      <c r="BM172">
        <v>1.5</v>
      </c>
    </row>
    <row r="173" spans="1:65" x14ac:dyDescent="0.45">
      <c r="A173" s="33"/>
      <c r="B173" s="32">
        <v>3</v>
      </c>
      <c r="C173" s="32">
        <v>171</v>
      </c>
      <c r="D173" s="32">
        <v>60</v>
      </c>
      <c r="E173" s="32">
        <v>60</v>
      </c>
      <c r="F173" s="32">
        <v>60</v>
      </c>
      <c r="G173" s="32"/>
      <c r="H173" s="32"/>
      <c r="I173" s="32"/>
      <c r="J173" s="32"/>
      <c r="K173" s="32"/>
      <c r="L173" s="32"/>
      <c r="M173" s="39"/>
      <c r="N173" s="43">
        <f t="shared" si="4"/>
        <v>3</v>
      </c>
      <c r="O173" s="33"/>
      <c r="P173" s="32">
        <v>3</v>
      </c>
      <c r="Q173" s="32">
        <v>171</v>
      </c>
      <c r="R173" s="32">
        <v>120</v>
      </c>
      <c r="S173" s="32">
        <v>60</v>
      </c>
      <c r="T173" s="32"/>
      <c r="U173" s="32"/>
      <c r="V173" s="32"/>
      <c r="W173" s="32"/>
      <c r="X173">
        <f t="shared" si="5"/>
        <v>2</v>
      </c>
      <c r="AC173">
        <v>171</v>
      </c>
      <c r="AD173">
        <v>277</v>
      </c>
      <c r="AE173">
        <v>277</v>
      </c>
      <c r="AF173">
        <v>240</v>
      </c>
      <c r="AG173">
        <v>360</v>
      </c>
      <c r="AI173">
        <v>171</v>
      </c>
      <c r="AJ173">
        <v>48</v>
      </c>
      <c r="AK173">
        <v>144</v>
      </c>
      <c r="AL173">
        <v>48</v>
      </c>
      <c r="AM173">
        <v>144</v>
      </c>
      <c r="AN173">
        <v>60</v>
      </c>
      <c r="AO173">
        <v>144</v>
      </c>
      <c r="AP173">
        <v>14</v>
      </c>
      <c r="AU173">
        <v>171</v>
      </c>
      <c r="AV173">
        <v>5</v>
      </c>
      <c r="AW173">
        <v>5</v>
      </c>
      <c r="AX173">
        <v>5</v>
      </c>
      <c r="AY173">
        <v>7</v>
      </c>
      <c r="AZ173">
        <v>9</v>
      </c>
      <c r="BC173">
        <v>171</v>
      </c>
      <c r="BD173">
        <v>14</v>
      </c>
      <c r="BE173">
        <v>14</v>
      </c>
      <c r="BF173">
        <v>14</v>
      </c>
      <c r="BG173">
        <v>14</v>
      </c>
      <c r="BH173">
        <v>17</v>
      </c>
      <c r="BK173" s="32">
        <v>171</v>
      </c>
      <c r="BL173">
        <v>10</v>
      </c>
      <c r="BM173">
        <v>1.5</v>
      </c>
    </row>
    <row r="174" spans="1:65" x14ac:dyDescent="0.45">
      <c r="A174" s="33"/>
      <c r="B174" s="32">
        <v>4</v>
      </c>
      <c r="C174" s="32">
        <v>172</v>
      </c>
      <c r="D174" s="32">
        <v>60</v>
      </c>
      <c r="E174" s="32">
        <v>60</v>
      </c>
      <c r="F174" s="32">
        <v>60</v>
      </c>
      <c r="G174" s="32"/>
      <c r="H174" s="32"/>
      <c r="I174" s="32"/>
      <c r="J174" s="32"/>
      <c r="K174" s="32"/>
      <c r="L174" s="32"/>
      <c r="M174" s="39"/>
      <c r="N174" s="43">
        <f t="shared" si="4"/>
        <v>3</v>
      </c>
      <c r="O174" s="33"/>
      <c r="P174" s="32">
        <v>4</v>
      </c>
      <c r="Q174" s="32">
        <v>172</v>
      </c>
      <c r="R174" s="32">
        <v>120</v>
      </c>
      <c r="S174" s="32">
        <v>60</v>
      </c>
      <c r="T174" s="32"/>
      <c r="U174" s="32"/>
      <c r="V174" s="32"/>
      <c r="W174" s="32"/>
      <c r="X174">
        <f t="shared" si="5"/>
        <v>2</v>
      </c>
      <c r="AC174">
        <v>172</v>
      </c>
      <c r="AD174">
        <v>277</v>
      </c>
      <c r="AE174">
        <v>277</v>
      </c>
      <c r="AF174">
        <v>240</v>
      </c>
      <c r="AG174">
        <v>360</v>
      </c>
      <c r="AI174">
        <v>172</v>
      </c>
      <c r="AJ174">
        <v>48</v>
      </c>
      <c r="AK174">
        <v>144</v>
      </c>
      <c r="AL174">
        <v>48</v>
      </c>
      <c r="AM174">
        <v>144</v>
      </c>
      <c r="AN174">
        <v>60</v>
      </c>
      <c r="AO174">
        <v>144</v>
      </c>
      <c r="AP174">
        <v>14</v>
      </c>
      <c r="AU174">
        <v>172</v>
      </c>
      <c r="AV174">
        <v>5</v>
      </c>
      <c r="AW174">
        <v>5</v>
      </c>
      <c r="AX174">
        <v>5</v>
      </c>
      <c r="AY174">
        <v>7</v>
      </c>
      <c r="AZ174">
        <v>9</v>
      </c>
      <c r="BC174">
        <v>172</v>
      </c>
      <c r="BD174">
        <v>14</v>
      </c>
      <c r="BE174">
        <v>14</v>
      </c>
      <c r="BF174">
        <v>14</v>
      </c>
      <c r="BG174">
        <v>14</v>
      </c>
      <c r="BH174">
        <v>17</v>
      </c>
      <c r="BK174" s="32">
        <v>172</v>
      </c>
      <c r="BL174">
        <v>10</v>
      </c>
      <c r="BM174">
        <v>1.5</v>
      </c>
    </row>
    <row r="175" spans="1:65" x14ac:dyDescent="0.45">
      <c r="A175" s="33"/>
      <c r="B175" s="32">
        <v>5</v>
      </c>
      <c r="C175" s="32">
        <v>173</v>
      </c>
      <c r="D175" s="32">
        <v>60</v>
      </c>
      <c r="E175" s="32">
        <v>60</v>
      </c>
      <c r="F175" s="32">
        <v>60</v>
      </c>
      <c r="G175" s="32"/>
      <c r="H175" s="32"/>
      <c r="I175" s="32"/>
      <c r="J175" s="32"/>
      <c r="K175" s="32"/>
      <c r="L175" s="32"/>
      <c r="M175" s="39"/>
      <c r="N175" s="43">
        <f t="shared" si="4"/>
        <v>3</v>
      </c>
      <c r="O175" s="33"/>
      <c r="P175" s="32">
        <v>5</v>
      </c>
      <c r="Q175" s="32">
        <v>173</v>
      </c>
      <c r="R175" s="32">
        <v>120</v>
      </c>
      <c r="S175" s="32">
        <v>60</v>
      </c>
      <c r="T175" s="32"/>
      <c r="U175" s="32"/>
      <c r="V175" s="32"/>
      <c r="W175" s="32"/>
      <c r="X175">
        <f t="shared" si="5"/>
        <v>2</v>
      </c>
      <c r="AC175">
        <v>173</v>
      </c>
      <c r="AD175">
        <v>277</v>
      </c>
      <c r="AE175">
        <v>277</v>
      </c>
      <c r="AF175">
        <v>240</v>
      </c>
      <c r="AG175">
        <v>360</v>
      </c>
      <c r="AI175">
        <v>173</v>
      </c>
      <c r="AJ175">
        <v>48</v>
      </c>
      <c r="AK175">
        <v>144</v>
      </c>
      <c r="AL175">
        <v>48</v>
      </c>
      <c r="AM175">
        <v>144</v>
      </c>
      <c r="AN175">
        <v>60</v>
      </c>
      <c r="AO175">
        <v>144</v>
      </c>
      <c r="AP175">
        <v>14</v>
      </c>
      <c r="AU175">
        <v>173</v>
      </c>
      <c r="AV175">
        <v>5</v>
      </c>
      <c r="AW175">
        <v>5</v>
      </c>
      <c r="AX175">
        <v>5</v>
      </c>
      <c r="AY175">
        <v>7</v>
      </c>
      <c r="AZ175">
        <v>9</v>
      </c>
      <c r="BC175">
        <v>173</v>
      </c>
      <c r="BD175">
        <v>14</v>
      </c>
      <c r="BE175">
        <v>14</v>
      </c>
      <c r="BF175">
        <v>14</v>
      </c>
      <c r="BG175">
        <v>14</v>
      </c>
      <c r="BH175">
        <v>17</v>
      </c>
      <c r="BK175" s="32">
        <v>173</v>
      </c>
      <c r="BL175">
        <v>10</v>
      </c>
      <c r="BM175">
        <v>1.5</v>
      </c>
    </row>
    <row r="176" spans="1:65" x14ac:dyDescent="0.45">
      <c r="A176" s="33"/>
      <c r="B176" s="32">
        <v>6</v>
      </c>
      <c r="C176" s="32">
        <v>174</v>
      </c>
      <c r="D176" s="32">
        <v>60</v>
      </c>
      <c r="E176" s="32">
        <v>60</v>
      </c>
      <c r="F176" s="32">
        <v>60</v>
      </c>
      <c r="G176" s="32"/>
      <c r="H176" s="32"/>
      <c r="I176" s="32"/>
      <c r="J176" s="32"/>
      <c r="K176" s="32"/>
      <c r="L176" s="32"/>
      <c r="M176" s="39"/>
      <c r="N176" s="43">
        <f t="shared" si="4"/>
        <v>3</v>
      </c>
      <c r="O176" s="33"/>
      <c r="P176" s="32">
        <v>6</v>
      </c>
      <c r="Q176" s="32">
        <v>174</v>
      </c>
      <c r="R176" s="32">
        <v>120</v>
      </c>
      <c r="S176" s="32">
        <v>60</v>
      </c>
      <c r="T176" s="32"/>
      <c r="U176" s="32"/>
      <c r="V176" s="32"/>
      <c r="W176" s="32"/>
      <c r="X176">
        <f t="shared" si="5"/>
        <v>2</v>
      </c>
      <c r="AC176">
        <v>174</v>
      </c>
      <c r="AD176">
        <v>277</v>
      </c>
      <c r="AE176">
        <v>277</v>
      </c>
      <c r="AF176">
        <v>240</v>
      </c>
      <c r="AG176">
        <v>360</v>
      </c>
      <c r="AI176">
        <v>174</v>
      </c>
      <c r="AJ176">
        <v>48</v>
      </c>
      <c r="AK176">
        <v>144</v>
      </c>
      <c r="AL176">
        <v>48</v>
      </c>
      <c r="AM176">
        <v>144</v>
      </c>
      <c r="AN176">
        <v>60</v>
      </c>
      <c r="AO176">
        <v>144</v>
      </c>
      <c r="AP176">
        <v>14</v>
      </c>
      <c r="AU176">
        <v>174</v>
      </c>
      <c r="AV176">
        <v>5</v>
      </c>
      <c r="AW176">
        <v>5</v>
      </c>
      <c r="AX176">
        <v>5</v>
      </c>
      <c r="AY176">
        <v>7</v>
      </c>
      <c r="AZ176">
        <v>9</v>
      </c>
      <c r="BC176">
        <v>174</v>
      </c>
      <c r="BD176">
        <v>14</v>
      </c>
      <c r="BE176">
        <v>14</v>
      </c>
      <c r="BF176">
        <v>14</v>
      </c>
      <c r="BG176">
        <v>14</v>
      </c>
      <c r="BH176">
        <v>17</v>
      </c>
      <c r="BK176" s="32">
        <v>174</v>
      </c>
      <c r="BL176">
        <v>10</v>
      </c>
      <c r="BM176">
        <v>1.5</v>
      </c>
    </row>
    <row r="177" spans="1:65" x14ac:dyDescent="0.45">
      <c r="A177" s="33"/>
      <c r="B177" s="32">
        <v>7</v>
      </c>
      <c r="C177" s="32">
        <v>175</v>
      </c>
      <c r="D177" s="32">
        <v>60</v>
      </c>
      <c r="E177" s="32">
        <v>60</v>
      </c>
      <c r="F177" s="32">
        <v>60</v>
      </c>
      <c r="G177" s="32"/>
      <c r="H177" s="32"/>
      <c r="I177" s="32"/>
      <c r="J177" s="32"/>
      <c r="K177" s="32"/>
      <c r="L177" s="32"/>
      <c r="M177" s="39"/>
      <c r="N177" s="43">
        <f t="shared" si="4"/>
        <v>3</v>
      </c>
      <c r="O177" s="33"/>
      <c r="P177" s="32">
        <v>7</v>
      </c>
      <c r="Q177" s="32">
        <v>175</v>
      </c>
      <c r="R177" s="32">
        <v>120</v>
      </c>
      <c r="S177" s="32">
        <v>60</v>
      </c>
      <c r="T177" s="32"/>
      <c r="U177" s="32"/>
      <c r="V177" s="32"/>
      <c r="W177" s="32"/>
      <c r="X177">
        <f t="shared" si="5"/>
        <v>2</v>
      </c>
      <c r="AC177">
        <v>175</v>
      </c>
      <c r="AD177">
        <v>286</v>
      </c>
      <c r="AE177">
        <v>286</v>
      </c>
      <c r="AF177">
        <v>240</v>
      </c>
      <c r="AG177">
        <v>360</v>
      </c>
      <c r="AI177">
        <v>175</v>
      </c>
      <c r="AJ177">
        <v>48</v>
      </c>
      <c r="AK177">
        <v>144</v>
      </c>
      <c r="AL177">
        <v>48</v>
      </c>
      <c r="AM177">
        <v>144</v>
      </c>
      <c r="AN177">
        <v>60</v>
      </c>
      <c r="AO177">
        <v>144</v>
      </c>
      <c r="AP177">
        <v>14</v>
      </c>
      <c r="AU177">
        <v>175</v>
      </c>
      <c r="AV177">
        <v>5</v>
      </c>
      <c r="AW177">
        <v>5</v>
      </c>
      <c r="AX177">
        <v>5</v>
      </c>
      <c r="AY177">
        <v>7</v>
      </c>
      <c r="AZ177">
        <v>9</v>
      </c>
      <c r="BC177">
        <v>175</v>
      </c>
      <c r="BD177">
        <v>14</v>
      </c>
      <c r="BE177">
        <v>14</v>
      </c>
      <c r="BF177">
        <v>14</v>
      </c>
      <c r="BG177">
        <v>14</v>
      </c>
      <c r="BH177">
        <v>17</v>
      </c>
      <c r="BK177" s="32">
        <v>175</v>
      </c>
      <c r="BL177">
        <v>10</v>
      </c>
      <c r="BM177">
        <v>1.5</v>
      </c>
    </row>
    <row r="178" spans="1:65" x14ac:dyDescent="0.45">
      <c r="A178" s="33"/>
      <c r="B178" s="32">
        <v>8</v>
      </c>
      <c r="C178" s="32">
        <v>176</v>
      </c>
      <c r="D178" s="32">
        <v>60</v>
      </c>
      <c r="E178" s="32">
        <v>60</v>
      </c>
      <c r="F178" s="32">
        <v>60</v>
      </c>
      <c r="G178" s="32"/>
      <c r="H178" s="32"/>
      <c r="I178" s="32"/>
      <c r="J178" s="32"/>
      <c r="K178" s="32"/>
      <c r="L178" s="32"/>
      <c r="M178" s="39"/>
      <c r="N178" s="43">
        <f t="shared" si="4"/>
        <v>3</v>
      </c>
      <c r="O178" s="33"/>
      <c r="P178" s="32">
        <v>8</v>
      </c>
      <c r="Q178" s="32">
        <v>176</v>
      </c>
      <c r="R178" s="32">
        <v>120</v>
      </c>
      <c r="S178" s="32">
        <v>60</v>
      </c>
      <c r="T178" s="32"/>
      <c r="U178" s="32"/>
      <c r="V178" s="32"/>
      <c r="W178" s="32"/>
      <c r="X178">
        <f t="shared" si="5"/>
        <v>2</v>
      </c>
      <c r="AC178">
        <v>176</v>
      </c>
      <c r="AD178">
        <v>286</v>
      </c>
      <c r="AE178">
        <v>286</v>
      </c>
      <c r="AF178">
        <v>240</v>
      </c>
      <c r="AG178">
        <v>360</v>
      </c>
      <c r="AI178">
        <v>176</v>
      </c>
      <c r="AJ178">
        <v>48</v>
      </c>
      <c r="AK178">
        <v>144</v>
      </c>
      <c r="AL178">
        <v>48</v>
      </c>
      <c r="AM178">
        <v>144</v>
      </c>
      <c r="AN178">
        <v>60</v>
      </c>
      <c r="AO178">
        <v>144</v>
      </c>
      <c r="AP178">
        <v>14</v>
      </c>
      <c r="AU178">
        <v>176</v>
      </c>
      <c r="AV178">
        <v>5</v>
      </c>
      <c r="AW178">
        <v>5</v>
      </c>
      <c r="AX178">
        <v>5</v>
      </c>
      <c r="AY178">
        <v>7</v>
      </c>
      <c r="AZ178">
        <v>9</v>
      </c>
      <c r="BC178">
        <v>176</v>
      </c>
      <c r="BD178">
        <v>14</v>
      </c>
      <c r="BE178">
        <v>14</v>
      </c>
      <c r="BF178">
        <v>14</v>
      </c>
      <c r="BG178">
        <v>14</v>
      </c>
      <c r="BH178">
        <v>17</v>
      </c>
      <c r="BK178" s="32">
        <v>176</v>
      </c>
      <c r="BL178">
        <v>10</v>
      </c>
      <c r="BM178">
        <v>1.5</v>
      </c>
    </row>
    <row r="179" spans="1:65" x14ac:dyDescent="0.45">
      <c r="A179" s="33"/>
      <c r="B179" s="32">
        <v>9</v>
      </c>
      <c r="C179" s="32">
        <v>177</v>
      </c>
      <c r="D179" s="32">
        <v>60</v>
      </c>
      <c r="E179" s="32">
        <v>60</v>
      </c>
      <c r="F179" s="32">
        <v>60</v>
      </c>
      <c r="G179" s="32"/>
      <c r="H179" s="32"/>
      <c r="I179" s="32"/>
      <c r="J179" s="32"/>
      <c r="K179" s="32"/>
      <c r="L179" s="32"/>
      <c r="M179" s="39"/>
      <c r="N179" s="43">
        <f t="shared" si="4"/>
        <v>3</v>
      </c>
      <c r="O179" s="33"/>
      <c r="P179" s="32">
        <v>9</v>
      </c>
      <c r="Q179" s="32">
        <v>177</v>
      </c>
      <c r="R179" s="32">
        <v>120</v>
      </c>
      <c r="S179" s="32">
        <v>60</v>
      </c>
      <c r="T179" s="32"/>
      <c r="U179" s="32"/>
      <c r="V179" s="32"/>
      <c r="W179" s="32"/>
      <c r="X179">
        <f t="shared" si="5"/>
        <v>2</v>
      </c>
      <c r="AC179">
        <v>177</v>
      </c>
      <c r="AD179">
        <v>286</v>
      </c>
      <c r="AE179">
        <v>286</v>
      </c>
      <c r="AF179">
        <v>240</v>
      </c>
      <c r="AG179">
        <v>360</v>
      </c>
      <c r="AI179">
        <v>177</v>
      </c>
      <c r="AJ179">
        <v>48</v>
      </c>
      <c r="AK179">
        <v>144</v>
      </c>
      <c r="AL179">
        <v>48</v>
      </c>
      <c r="AM179">
        <v>144</v>
      </c>
      <c r="AN179">
        <v>60</v>
      </c>
      <c r="AO179">
        <v>144</v>
      </c>
      <c r="AP179">
        <v>14</v>
      </c>
      <c r="AU179">
        <v>177</v>
      </c>
      <c r="AV179">
        <v>5</v>
      </c>
      <c r="AW179">
        <v>5</v>
      </c>
      <c r="AX179">
        <v>5</v>
      </c>
      <c r="AY179">
        <v>7</v>
      </c>
      <c r="AZ179">
        <v>9</v>
      </c>
      <c r="BC179">
        <v>177</v>
      </c>
      <c r="BD179">
        <v>14</v>
      </c>
      <c r="BE179">
        <v>14</v>
      </c>
      <c r="BF179">
        <v>14</v>
      </c>
      <c r="BG179">
        <v>14</v>
      </c>
      <c r="BH179">
        <v>17</v>
      </c>
      <c r="BK179" s="32">
        <v>177</v>
      </c>
      <c r="BL179">
        <v>10</v>
      </c>
      <c r="BM179">
        <v>1.5</v>
      </c>
    </row>
    <row r="180" spans="1:65" x14ac:dyDescent="0.45">
      <c r="A180" s="33"/>
      <c r="B180" s="32">
        <v>10</v>
      </c>
      <c r="C180" s="32">
        <v>178</v>
      </c>
      <c r="D180" s="32">
        <v>60</v>
      </c>
      <c r="E180" s="32">
        <v>60</v>
      </c>
      <c r="F180" s="32">
        <v>60</v>
      </c>
      <c r="G180" s="32"/>
      <c r="H180" s="32"/>
      <c r="I180" s="32"/>
      <c r="J180" s="32"/>
      <c r="K180" s="32"/>
      <c r="L180" s="32"/>
      <c r="M180" s="39"/>
      <c r="N180" s="43">
        <f t="shared" si="4"/>
        <v>3</v>
      </c>
      <c r="O180" s="33"/>
      <c r="P180" s="32">
        <v>10</v>
      </c>
      <c r="Q180" s="32">
        <v>178</v>
      </c>
      <c r="R180" s="32">
        <v>120</v>
      </c>
      <c r="S180" s="32">
        <v>60</v>
      </c>
      <c r="T180" s="32"/>
      <c r="U180" s="32"/>
      <c r="V180" s="32"/>
      <c r="W180" s="32"/>
      <c r="X180">
        <f t="shared" si="5"/>
        <v>2</v>
      </c>
      <c r="AC180">
        <v>178</v>
      </c>
      <c r="AD180">
        <v>286</v>
      </c>
      <c r="AE180">
        <v>286</v>
      </c>
      <c r="AF180">
        <v>240</v>
      </c>
      <c r="AG180">
        <v>360</v>
      </c>
      <c r="AI180">
        <v>178</v>
      </c>
      <c r="AJ180">
        <v>48</v>
      </c>
      <c r="AK180">
        <v>144</v>
      </c>
      <c r="AL180">
        <v>48</v>
      </c>
      <c r="AM180">
        <v>144</v>
      </c>
      <c r="AN180">
        <v>60</v>
      </c>
      <c r="AO180">
        <v>144</v>
      </c>
      <c r="AP180">
        <v>14</v>
      </c>
      <c r="AU180">
        <v>178</v>
      </c>
      <c r="AV180">
        <v>5</v>
      </c>
      <c r="AW180">
        <v>5</v>
      </c>
      <c r="AX180">
        <v>5</v>
      </c>
      <c r="AY180">
        <v>7</v>
      </c>
      <c r="AZ180">
        <v>9</v>
      </c>
      <c r="BC180">
        <v>178</v>
      </c>
      <c r="BD180">
        <v>14</v>
      </c>
      <c r="BE180">
        <v>14</v>
      </c>
      <c r="BF180">
        <v>14</v>
      </c>
      <c r="BG180">
        <v>14</v>
      </c>
      <c r="BH180">
        <v>17</v>
      </c>
      <c r="BK180" s="32">
        <v>178</v>
      </c>
      <c r="BL180">
        <v>10</v>
      </c>
      <c r="BM180">
        <v>1.5</v>
      </c>
    </row>
    <row r="181" spans="1:65" x14ac:dyDescent="0.45">
      <c r="A181" s="33"/>
      <c r="B181" s="32">
        <v>11</v>
      </c>
      <c r="C181" s="32">
        <v>179</v>
      </c>
      <c r="D181" s="32">
        <v>60</v>
      </c>
      <c r="E181" s="32">
        <v>60</v>
      </c>
      <c r="F181" s="32">
        <v>60</v>
      </c>
      <c r="G181" s="32"/>
      <c r="H181" s="32"/>
      <c r="I181" s="32"/>
      <c r="J181" s="32"/>
      <c r="K181" s="32"/>
      <c r="L181" s="32"/>
      <c r="M181" s="39"/>
      <c r="N181" s="43">
        <f t="shared" si="4"/>
        <v>3</v>
      </c>
      <c r="O181" s="33"/>
      <c r="P181" s="32">
        <v>11</v>
      </c>
      <c r="Q181" s="32">
        <v>179</v>
      </c>
      <c r="R181" s="32">
        <v>120</v>
      </c>
      <c r="S181" s="32">
        <v>60</v>
      </c>
      <c r="T181" s="32"/>
      <c r="U181" s="32"/>
      <c r="V181" s="32"/>
      <c r="W181" s="32"/>
      <c r="X181">
        <f t="shared" si="5"/>
        <v>2</v>
      </c>
      <c r="AC181">
        <v>179</v>
      </c>
      <c r="AD181">
        <v>286</v>
      </c>
      <c r="AE181">
        <v>286</v>
      </c>
      <c r="AF181">
        <v>240</v>
      </c>
      <c r="AG181">
        <v>360</v>
      </c>
      <c r="AI181">
        <v>179</v>
      </c>
      <c r="AJ181">
        <v>48</v>
      </c>
      <c r="AK181">
        <v>144</v>
      </c>
      <c r="AL181">
        <v>48</v>
      </c>
      <c r="AM181">
        <v>144</v>
      </c>
      <c r="AN181">
        <v>60</v>
      </c>
      <c r="AO181">
        <v>144</v>
      </c>
      <c r="AP181">
        <v>14</v>
      </c>
      <c r="AU181">
        <v>179</v>
      </c>
      <c r="AV181">
        <v>5</v>
      </c>
      <c r="AW181">
        <v>5</v>
      </c>
      <c r="AX181">
        <v>5</v>
      </c>
      <c r="AY181">
        <v>7</v>
      </c>
      <c r="AZ181">
        <v>9</v>
      </c>
      <c r="BC181">
        <v>179</v>
      </c>
      <c r="BD181">
        <v>14</v>
      </c>
      <c r="BE181">
        <v>14</v>
      </c>
      <c r="BF181">
        <v>14</v>
      </c>
      <c r="BG181">
        <v>14</v>
      </c>
      <c r="BH181">
        <v>17</v>
      </c>
      <c r="BK181" s="32">
        <v>179</v>
      </c>
      <c r="BL181">
        <v>10</v>
      </c>
      <c r="BM181">
        <v>1.5</v>
      </c>
    </row>
    <row r="182" spans="1:65" x14ac:dyDescent="0.45">
      <c r="A182" s="33">
        <v>15</v>
      </c>
      <c r="B182" s="32"/>
      <c r="C182" s="32">
        <v>180</v>
      </c>
      <c r="D182" s="32">
        <v>60</v>
      </c>
      <c r="E182" s="32">
        <v>60</v>
      </c>
      <c r="F182" s="32">
        <v>60</v>
      </c>
      <c r="G182" s="32"/>
      <c r="H182" s="32"/>
      <c r="I182" s="32"/>
      <c r="J182" s="32"/>
      <c r="K182" s="32"/>
      <c r="L182" s="32"/>
      <c r="M182" s="39"/>
      <c r="N182" s="43">
        <f t="shared" si="4"/>
        <v>3</v>
      </c>
      <c r="O182" s="33">
        <v>15</v>
      </c>
      <c r="P182" s="32"/>
      <c r="Q182" s="32">
        <v>180</v>
      </c>
      <c r="R182" s="32">
        <v>120</v>
      </c>
      <c r="S182" s="32">
        <v>60</v>
      </c>
      <c r="T182" s="32"/>
      <c r="U182" s="32"/>
      <c r="V182" s="32"/>
      <c r="W182" s="32"/>
      <c r="X182">
        <f t="shared" si="5"/>
        <v>2</v>
      </c>
      <c r="AC182">
        <v>180</v>
      </c>
      <c r="AD182">
        <v>286</v>
      </c>
      <c r="AE182">
        <v>286</v>
      </c>
      <c r="AF182">
        <v>240</v>
      </c>
      <c r="AG182">
        <v>360</v>
      </c>
      <c r="AI182">
        <v>180</v>
      </c>
      <c r="AJ182">
        <v>48</v>
      </c>
      <c r="AK182">
        <v>144</v>
      </c>
      <c r="AL182">
        <v>48</v>
      </c>
      <c r="AM182">
        <v>144</v>
      </c>
      <c r="AN182">
        <v>60</v>
      </c>
      <c r="AO182">
        <v>144</v>
      </c>
      <c r="AP182">
        <v>14</v>
      </c>
      <c r="AU182">
        <v>180</v>
      </c>
      <c r="AV182">
        <v>5</v>
      </c>
      <c r="AW182">
        <v>5</v>
      </c>
      <c r="AX182">
        <v>5</v>
      </c>
      <c r="AY182">
        <v>7</v>
      </c>
      <c r="AZ182">
        <v>9</v>
      </c>
      <c r="BC182">
        <v>180</v>
      </c>
      <c r="BD182">
        <v>14</v>
      </c>
      <c r="BE182">
        <v>14</v>
      </c>
      <c r="BF182">
        <v>14</v>
      </c>
      <c r="BG182">
        <v>14</v>
      </c>
      <c r="BH182">
        <v>17</v>
      </c>
      <c r="BK182" s="32">
        <v>180</v>
      </c>
      <c r="BL182">
        <v>10</v>
      </c>
      <c r="BM182">
        <v>2</v>
      </c>
    </row>
    <row r="183" spans="1:65" x14ac:dyDescent="0.45">
      <c r="A183" s="33"/>
      <c r="B183" s="32">
        <v>1</v>
      </c>
      <c r="C183" s="32">
        <v>181</v>
      </c>
      <c r="D183" s="32">
        <v>48</v>
      </c>
      <c r="E183" s="32">
        <v>48</v>
      </c>
      <c r="F183" s="32">
        <v>48</v>
      </c>
      <c r="G183" s="32">
        <v>48</v>
      </c>
      <c r="H183" s="32"/>
      <c r="I183" s="32"/>
      <c r="J183" s="32"/>
      <c r="K183" s="32"/>
      <c r="L183" s="32"/>
      <c r="M183" s="39"/>
      <c r="N183" s="43">
        <f t="shared" si="4"/>
        <v>4</v>
      </c>
      <c r="O183" s="33"/>
      <c r="P183" s="32">
        <v>1</v>
      </c>
      <c r="Q183" s="32">
        <v>181</v>
      </c>
      <c r="R183" s="32">
        <v>96</v>
      </c>
      <c r="S183" s="32">
        <v>96</v>
      </c>
      <c r="T183" s="32"/>
      <c r="U183" s="32"/>
      <c r="V183" s="32"/>
      <c r="W183" s="32"/>
      <c r="X183">
        <f t="shared" si="5"/>
        <v>2</v>
      </c>
      <c r="AC183">
        <v>181</v>
      </c>
      <c r="AD183">
        <v>296</v>
      </c>
      <c r="AE183">
        <v>296</v>
      </c>
      <c r="AF183">
        <v>240</v>
      </c>
      <c r="AG183">
        <v>360</v>
      </c>
      <c r="AI183">
        <v>181</v>
      </c>
      <c r="AJ183">
        <v>48</v>
      </c>
      <c r="AK183">
        <v>144</v>
      </c>
      <c r="AL183">
        <v>48</v>
      </c>
      <c r="AM183">
        <v>144</v>
      </c>
      <c r="AN183">
        <v>60</v>
      </c>
      <c r="AO183">
        <v>144</v>
      </c>
      <c r="AP183">
        <v>14</v>
      </c>
      <c r="AU183">
        <v>181</v>
      </c>
      <c r="AV183">
        <v>5</v>
      </c>
      <c r="AW183">
        <v>5</v>
      </c>
      <c r="AX183">
        <v>5</v>
      </c>
      <c r="AY183">
        <v>7</v>
      </c>
      <c r="AZ183">
        <v>9</v>
      </c>
      <c r="BC183">
        <v>181</v>
      </c>
      <c r="BD183">
        <v>14</v>
      </c>
      <c r="BE183">
        <v>14</v>
      </c>
      <c r="BF183">
        <v>14</v>
      </c>
      <c r="BG183">
        <v>14</v>
      </c>
      <c r="BH183">
        <v>17</v>
      </c>
      <c r="BK183" s="32">
        <v>181</v>
      </c>
      <c r="BL183">
        <v>10</v>
      </c>
      <c r="BM183">
        <v>2</v>
      </c>
    </row>
    <row r="184" spans="1:65" x14ac:dyDescent="0.45">
      <c r="A184" s="33"/>
      <c r="B184" s="32">
        <v>2</v>
      </c>
      <c r="C184" s="32">
        <v>182</v>
      </c>
      <c r="D184" s="32">
        <v>48</v>
      </c>
      <c r="E184" s="32">
        <v>48</v>
      </c>
      <c r="F184" s="32">
        <v>48</v>
      </c>
      <c r="G184" s="32">
        <v>48</v>
      </c>
      <c r="H184" s="32"/>
      <c r="I184" s="32"/>
      <c r="J184" s="32"/>
      <c r="K184" s="32"/>
      <c r="L184" s="32"/>
      <c r="M184" s="39"/>
      <c r="N184" s="43">
        <f t="shared" si="4"/>
        <v>4</v>
      </c>
      <c r="O184" s="33"/>
      <c r="P184" s="32">
        <v>2</v>
      </c>
      <c r="Q184" s="32">
        <v>182</v>
      </c>
      <c r="R184" s="32">
        <v>96</v>
      </c>
      <c r="S184" s="32">
        <v>96</v>
      </c>
      <c r="T184" s="32"/>
      <c r="U184" s="32"/>
      <c r="V184" s="32"/>
      <c r="W184" s="32"/>
      <c r="X184">
        <f t="shared" si="5"/>
        <v>2</v>
      </c>
      <c r="AC184">
        <v>182</v>
      </c>
      <c r="AD184">
        <v>296</v>
      </c>
      <c r="AE184">
        <v>296</v>
      </c>
      <c r="AF184">
        <v>240</v>
      </c>
      <c r="AG184">
        <v>360</v>
      </c>
      <c r="AI184">
        <v>182</v>
      </c>
      <c r="AJ184">
        <v>48</v>
      </c>
      <c r="AK184">
        <v>144</v>
      </c>
      <c r="AL184">
        <v>48</v>
      </c>
      <c r="AM184">
        <v>144</v>
      </c>
      <c r="AN184">
        <v>60</v>
      </c>
      <c r="AO184">
        <v>144</v>
      </c>
      <c r="AP184">
        <v>14</v>
      </c>
      <c r="AU184">
        <v>182</v>
      </c>
      <c r="AV184">
        <v>5</v>
      </c>
      <c r="AW184">
        <v>5</v>
      </c>
      <c r="AX184">
        <v>5</v>
      </c>
      <c r="AY184">
        <v>7</v>
      </c>
      <c r="AZ184">
        <v>9</v>
      </c>
      <c r="BC184">
        <v>182</v>
      </c>
      <c r="BD184">
        <v>14</v>
      </c>
      <c r="BE184">
        <v>14</v>
      </c>
      <c r="BF184">
        <v>14</v>
      </c>
      <c r="BG184">
        <v>14</v>
      </c>
      <c r="BH184">
        <v>17</v>
      </c>
      <c r="BK184" s="32">
        <v>182</v>
      </c>
      <c r="BL184">
        <v>10</v>
      </c>
      <c r="BM184">
        <v>2</v>
      </c>
    </row>
    <row r="185" spans="1:65" x14ac:dyDescent="0.45">
      <c r="A185" s="33"/>
      <c r="B185" s="32">
        <v>3</v>
      </c>
      <c r="C185" s="32">
        <v>183</v>
      </c>
      <c r="D185" s="32">
        <v>48</v>
      </c>
      <c r="E185" s="32">
        <v>48</v>
      </c>
      <c r="F185" s="32">
        <v>48</v>
      </c>
      <c r="G185" s="32">
        <v>48</v>
      </c>
      <c r="H185" s="32"/>
      <c r="I185" s="32"/>
      <c r="J185" s="32"/>
      <c r="K185" s="32"/>
      <c r="L185" s="32"/>
      <c r="M185" s="39"/>
      <c r="N185" s="43">
        <f t="shared" si="4"/>
        <v>4</v>
      </c>
      <c r="O185" s="33"/>
      <c r="P185" s="32">
        <v>3</v>
      </c>
      <c r="Q185" s="32">
        <v>183</v>
      </c>
      <c r="R185" s="32">
        <v>96</v>
      </c>
      <c r="S185" s="32">
        <v>96</v>
      </c>
      <c r="T185" s="32"/>
      <c r="U185" s="32"/>
      <c r="V185" s="32"/>
      <c r="W185" s="32"/>
      <c r="X185">
        <f t="shared" si="5"/>
        <v>2</v>
      </c>
      <c r="AC185">
        <v>183</v>
      </c>
      <c r="AD185">
        <v>296</v>
      </c>
      <c r="AE185">
        <v>296</v>
      </c>
      <c r="AF185">
        <v>240</v>
      </c>
      <c r="AG185">
        <v>360</v>
      </c>
      <c r="AI185">
        <v>183</v>
      </c>
      <c r="AJ185">
        <v>48</v>
      </c>
      <c r="AK185">
        <v>144</v>
      </c>
      <c r="AL185">
        <v>48</v>
      </c>
      <c r="AM185">
        <v>144</v>
      </c>
      <c r="AN185">
        <v>60</v>
      </c>
      <c r="AO185">
        <v>144</v>
      </c>
      <c r="AP185">
        <v>14</v>
      </c>
      <c r="AU185">
        <v>183</v>
      </c>
      <c r="AV185">
        <v>5</v>
      </c>
      <c r="AW185">
        <v>5</v>
      </c>
      <c r="AX185">
        <v>5</v>
      </c>
      <c r="AY185">
        <v>7</v>
      </c>
      <c r="AZ185">
        <v>9</v>
      </c>
      <c r="BC185">
        <v>183</v>
      </c>
      <c r="BD185">
        <v>14</v>
      </c>
      <c r="BE185">
        <v>14</v>
      </c>
      <c r="BF185">
        <v>14</v>
      </c>
      <c r="BG185">
        <v>14</v>
      </c>
      <c r="BH185">
        <v>17</v>
      </c>
      <c r="BK185" s="32">
        <v>183</v>
      </c>
      <c r="BL185">
        <v>10</v>
      </c>
      <c r="BM185">
        <v>2</v>
      </c>
    </row>
    <row r="186" spans="1:65" x14ac:dyDescent="0.45">
      <c r="A186" s="33"/>
      <c r="B186" s="32">
        <v>4</v>
      </c>
      <c r="C186" s="32">
        <v>184</v>
      </c>
      <c r="D186" s="32">
        <v>48</v>
      </c>
      <c r="E186" s="32">
        <v>48</v>
      </c>
      <c r="F186" s="32">
        <v>48</v>
      </c>
      <c r="G186" s="32">
        <v>48</v>
      </c>
      <c r="H186" s="32"/>
      <c r="I186" s="32"/>
      <c r="J186" s="32"/>
      <c r="K186" s="32"/>
      <c r="L186" s="32"/>
      <c r="M186" s="39"/>
      <c r="N186" s="43">
        <f t="shared" si="4"/>
        <v>4</v>
      </c>
      <c r="O186" s="33"/>
      <c r="P186" s="32">
        <v>4</v>
      </c>
      <c r="Q186" s="32">
        <v>184</v>
      </c>
      <c r="R186" s="32">
        <v>96</v>
      </c>
      <c r="S186" s="32">
        <v>96</v>
      </c>
      <c r="T186" s="32"/>
      <c r="U186" s="32"/>
      <c r="V186" s="32"/>
      <c r="W186" s="32"/>
      <c r="X186">
        <f t="shared" si="5"/>
        <v>2</v>
      </c>
      <c r="AC186">
        <v>184</v>
      </c>
      <c r="AD186">
        <v>296</v>
      </c>
      <c r="AE186">
        <v>296</v>
      </c>
      <c r="AF186">
        <v>240</v>
      </c>
      <c r="AG186">
        <v>360</v>
      </c>
      <c r="AI186">
        <v>184</v>
      </c>
      <c r="AJ186">
        <v>48</v>
      </c>
      <c r="AK186">
        <v>144</v>
      </c>
      <c r="AL186">
        <v>48</v>
      </c>
      <c r="AM186">
        <v>144</v>
      </c>
      <c r="AN186">
        <v>60</v>
      </c>
      <c r="AO186">
        <v>144</v>
      </c>
      <c r="AP186">
        <v>14</v>
      </c>
      <c r="AU186">
        <v>184</v>
      </c>
      <c r="AV186">
        <v>5</v>
      </c>
      <c r="AW186">
        <v>5</v>
      </c>
      <c r="AX186">
        <v>5</v>
      </c>
      <c r="AY186">
        <v>7</v>
      </c>
      <c r="AZ186">
        <v>9</v>
      </c>
      <c r="BC186">
        <v>184</v>
      </c>
      <c r="BD186">
        <v>14</v>
      </c>
      <c r="BE186">
        <v>14</v>
      </c>
      <c r="BF186">
        <v>14</v>
      </c>
      <c r="BG186">
        <v>14</v>
      </c>
      <c r="BH186">
        <v>17</v>
      </c>
      <c r="BK186" s="32">
        <v>184</v>
      </c>
      <c r="BL186">
        <v>10</v>
      </c>
      <c r="BM186">
        <v>2</v>
      </c>
    </row>
    <row r="187" spans="1:65" x14ac:dyDescent="0.45">
      <c r="A187" s="33"/>
      <c r="B187" s="32">
        <v>5</v>
      </c>
      <c r="C187" s="32">
        <v>185</v>
      </c>
      <c r="D187" s="32">
        <v>48</v>
      </c>
      <c r="E187" s="32">
        <v>48</v>
      </c>
      <c r="F187" s="32">
        <v>48</v>
      </c>
      <c r="G187" s="32">
        <v>48</v>
      </c>
      <c r="H187" s="32"/>
      <c r="I187" s="32"/>
      <c r="J187" s="32"/>
      <c r="K187" s="32"/>
      <c r="L187" s="32"/>
      <c r="M187" s="39"/>
      <c r="N187" s="43">
        <f t="shared" si="4"/>
        <v>4</v>
      </c>
      <c r="O187" s="33"/>
      <c r="P187" s="32">
        <v>5</v>
      </c>
      <c r="Q187" s="32">
        <v>185</v>
      </c>
      <c r="R187" s="32">
        <v>96</v>
      </c>
      <c r="S187" s="32">
        <v>96</v>
      </c>
      <c r="T187" s="32"/>
      <c r="U187" s="32"/>
      <c r="V187" s="32"/>
      <c r="W187" s="32"/>
      <c r="X187">
        <f t="shared" si="5"/>
        <v>2</v>
      </c>
      <c r="AC187">
        <v>185</v>
      </c>
      <c r="AD187">
        <v>296</v>
      </c>
      <c r="AE187">
        <v>296</v>
      </c>
      <c r="AF187">
        <v>240</v>
      </c>
      <c r="AG187">
        <v>360</v>
      </c>
      <c r="AI187">
        <v>185</v>
      </c>
      <c r="AJ187">
        <v>48</v>
      </c>
      <c r="AK187">
        <v>144</v>
      </c>
      <c r="AL187">
        <v>48</v>
      </c>
      <c r="AM187">
        <v>144</v>
      </c>
      <c r="AN187">
        <v>60</v>
      </c>
      <c r="AO187">
        <v>144</v>
      </c>
      <c r="AP187">
        <v>14</v>
      </c>
      <c r="AU187">
        <v>185</v>
      </c>
      <c r="AV187">
        <v>5</v>
      </c>
      <c r="AW187">
        <v>5</v>
      </c>
      <c r="AX187">
        <v>5</v>
      </c>
      <c r="AY187">
        <v>7</v>
      </c>
      <c r="AZ187">
        <v>9</v>
      </c>
      <c r="BC187">
        <v>185</v>
      </c>
      <c r="BD187">
        <v>14</v>
      </c>
      <c r="BE187">
        <v>14</v>
      </c>
      <c r="BF187">
        <v>14</v>
      </c>
      <c r="BG187">
        <v>14</v>
      </c>
      <c r="BH187">
        <v>17</v>
      </c>
      <c r="BK187" s="32">
        <v>185</v>
      </c>
      <c r="BL187">
        <v>10</v>
      </c>
      <c r="BM187">
        <v>2</v>
      </c>
    </row>
    <row r="188" spans="1:65" x14ac:dyDescent="0.45">
      <c r="A188" s="33"/>
      <c r="B188" s="32">
        <v>6</v>
      </c>
      <c r="C188" s="32">
        <v>186</v>
      </c>
      <c r="D188" s="32">
        <v>48</v>
      </c>
      <c r="E188" s="32">
        <v>48</v>
      </c>
      <c r="F188" s="32">
        <v>48</v>
      </c>
      <c r="G188" s="32">
        <v>48</v>
      </c>
      <c r="H188" s="32"/>
      <c r="I188" s="32"/>
      <c r="J188" s="32"/>
      <c r="K188" s="32"/>
      <c r="L188" s="32"/>
      <c r="M188" s="39"/>
      <c r="N188" s="43">
        <f t="shared" si="4"/>
        <v>4</v>
      </c>
      <c r="O188" s="33"/>
      <c r="P188" s="32">
        <v>6</v>
      </c>
      <c r="Q188" s="32">
        <v>186</v>
      </c>
      <c r="R188" s="32">
        <v>96</v>
      </c>
      <c r="S188" s="32">
        <v>96</v>
      </c>
      <c r="T188" s="32"/>
      <c r="U188" s="32"/>
      <c r="V188" s="32"/>
      <c r="W188" s="32"/>
      <c r="X188">
        <f t="shared" si="5"/>
        <v>2</v>
      </c>
      <c r="AC188">
        <v>186</v>
      </c>
      <c r="AD188">
        <v>296</v>
      </c>
      <c r="AE188">
        <v>296</v>
      </c>
      <c r="AF188">
        <v>240</v>
      </c>
      <c r="AG188">
        <v>360</v>
      </c>
      <c r="AI188">
        <v>186</v>
      </c>
      <c r="AJ188">
        <v>48</v>
      </c>
      <c r="AK188">
        <v>144</v>
      </c>
      <c r="AL188">
        <v>48</v>
      </c>
      <c r="AM188">
        <v>144</v>
      </c>
      <c r="AN188">
        <v>60</v>
      </c>
      <c r="AO188">
        <v>144</v>
      </c>
      <c r="AP188">
        <v>14</v>
      </c>
      <c r="AU188">
        <v>186</v>
      </c>
      <c r="AV188">
        <v>5</v>
      </c>
      <c r="AW188">
        <v>5</v>
      </c>
      <c r="AX188">
        <v>5</v>
      </c>
      <c r="AY188">
        <v>7</v>
      </c>
      <c r="AZ188">
        <v>9</v>
      </c>
      <c r="BC188">
        <v>186</v>
      </c>
      <c r="BD188">
        <v>14</v>
      </c>
      <c r="BE188">
        <v>14</v>
      </c>
      <c r="BF188">
        <v>14</v>
      </c>
      <c r="BG188">
        <v>14</v>
      </c>
      <c r="BH188">
        <v>17</v>
      </c>
      <c r="BK188" s="32">
        <v>186</v>
      </c>
      <c r="BL188">
        <v>10</v>
      </c>
      <c r="BM188">
        <v>2</v>
      </c>
    </row>
    <row r="189" spans="1:65" x14ac:dyDescent="0.45">
      <c r="A189" s="33"/>
      <c r="B189" s="32">
        <v>7</v>
      </c>
      <c r="C189" s="32">
        <v>187</v>
      </c>
      <c r="D189" s="32">
        <v>48</v>
      </c>
      <c r="E189" s="32">
        <v>48</v>
      </c>
      <c r="F189" s="32">
        <v>48</v>
      </c>
      <c r="G189" s="32">
        <v>48</v>
      </c>
      <c r="H189" s="32"/>
      <c r="I189" s="32"/>
      <c r="J189" s="32"/>
      <c r="K189" s="32"/>
      <c r="L189" s="32"/>
      <c r="M189" s="39"/>
      <c r="N189" s="43">
        <f t="shared" si="4"/>
        <v>4</v>
      </c>
      <c r="O189" s="33"/>
      <c r="P189" s="32">
        <v>7</v>
      </c>
      <c r="Q189" s="32">
        <v>187</v>
      </c>
      <c r="R189" s="32">
        <v>96</v>
      </c>
      <c r="S189" s="32">
        <v>96</v>
      </c>
      <c r="T189" s="32"/>
      <c r="U189" s="32"/>
      <c r="V189" s="32"/>
      <c r="W189" s="32"/>
      <c r="X189">
        <f t="shared" si="5"/>
        <v>2</v>
      </c>
      <c r="AC189">
        <v>187</v>
      </c>
      <c r="AD189">
        <v>305</v>
      </c>
      <c r="AE189">
        <v>305</v>
      </c>
      <c r="AF189">
        <v>240</v>
      </c>
      <c r="AG189">
        <v>360</v>
      </c>
      <c r="AI189">
        <v>187</v>
      </c>
      <c r="AJ189">
        <v>48</v>
      </c>
      <c r="AK189">
        <v>144</v>
      </c>
      <c r="AL189">
        <v>48</v>
      </c>
      <c r="AM189">
        <v>144</v>
      </c>
      <c r="AN189">
        <v>60</v>
      </c>
      <c r="AO189">
        <v>144</v>
      </c>
      <c r="AP189">
        <v>14</v>
      </c>
      <c r="AU189">
        <v>187</v>
      </c>
      <c r="AV189">
        <v>5</v>
      </c>
      <c r="AW189">
        <v>5</v>
      </c>
      <c r="AX189">
        <v>5</v>
      </c>
      <c r="AY189">
        <v>7</v>
      </c>
      <c r="AZ189">
        <v>9</v>
      </c>
      <c r="BC189">
        <v>187</v>
      </c>
      <c r="BD189">
        <v>14</v>
      </c>
      <c r="BE189">
        <v>14</v>
      </c>
      <c r="BF189">
        <v>14</v>
      </c>
      <c r="BG189">
        <v>14</v>
      </c>
      <c r="BH189">
        <v>17</v>
      </c>
      <c r="BK189" s="32">
        <v>187</v>
      </c>
      <c r="BL189">
        <v>10</v>
      </c>
      <c r="BM189">
        <v>2</v>
      </c>
    </row>
    <row r="190" spans="1:65" x14ac:dyDescent="0.45">
      <c r="A190" s="33"/>
      <c r="B190" s="32">
        <v>8</v>
      </c>
      <c r="C190" s="32">
        <v>188</v>
      </c>
      <c r="D190" s="32">
        <v>48</v>
      </c>
      <c r="E190" s="32">
        <v>48</v>
      </c>
      <c r="F190" s="32">
        <v>48</v>
      </c>
      <c r="G190" s="32">
        <v>48</v>
      </c>
      <c r="H190" s="32"/>
      <c r="I190" s="32"/>
      <c r="J190" s="32"/>
      <c r="K190" s="32"/>
      <c r="L190" s="32"/>
      <c r="M190" s="39"/>
      <c r="N190" s="43">
        <f t="shared" si="4"/>
        <v>4</v>
      </c>
      <c r="O190" s="33"/>
      <c r="P190" s="32">
        <v>8</v>
      </c>
      <c r="Q190" s="32">
        <v>188</v>
      </c>
      <c r="R190" s="32">
        <v>96</v>
      </c>
      <c r="S190" s="32">
        <v>96</v>
      </c>
      <c r="T190" s="32"/>
      <c r="U190" s="32"/>
      <c r="V190" s="32"/>
      <c r="W190" s="32"/>
      <c r="X190">
        <f t="shared" si="5"/>
        <v>2</v>
      </c>
      <c r="AC190">
        <v>188</v>
      </c>
      <c r="AD190">
        <v>305</v>
      </c>
      <c r="AE190">
        <v>305</v>
      </c>
      <c r="AF190">
        <v>240</v>
      </c>
      <c r="AG190">
        <v>360</v>
      </c>
      <c r="AI190">
        <v>188</v>
      </c>
      <c r="AJ190">
        <v>48</v>
      </c>
      <c r="AK190">
        <v>144</v>
      </c>
      <c r="AL190">
        <v>48</v>
      </c>
      <c r="AM190">
        <v>144</v>
      </c>
      <c r="AN190">
        <v>60</v>
      </c>
      <c r="AO190">
        <v>144</v>
      </c>
      <c r="AP190">
        <v>14</v>
      </c>
      <c r="AU190">
        <v>188</v>
      </c>
      <c r="AV190">
        <v>5</v>
      </c>
      <c r="AW190">
        <v>5</v>
      </c>
      <c r="AX190">
        <v>5</v>
      </c>
      <c r="AY190">
        <v>7</v>
      </c>
      <c r="AZ190">
        <v>9</v>
      </c>
      <c r="BC190">
        <v>188</v>
      </c>
      <c r="BD190">
        <v>14</v>
      </c>
      <c r="BE190">
        <v>14</v>
      </c>
      <c r="BF190">
        <v>14</v>
      </c>
      <c r="BG190">
        <v>14</v>
      </c>
      <c r="BH190">
        <v>17</v>
      </c>
      <c r="BK190" s="32">
        <v>188</v>
      </c>
      <c r="BL190">
        <v>10</v>
      </c>
      <c r="BM190">
        <v>2</v>
      </c>
    </row>
    <row r="191" spans="1:65" x14ac:dyDescent="0.45">
      <c r="A191" s="33"/>
      <c r="B191" s="32">
        <v>9</v>
      </c>
      <c r="C191" s="32">
        <v>189</v>
      </c>
      <c r="D191" s="32">
        <v>48</v>
      </c>
      <c r="E191" s="32">
        <v>48</v>
      </c>
      <c r="F191" s="32">
        <v>48</v>
      </c>
      <c r="G191" s="32">
        <v>48</v>
      </c>
      <c r="H191" s="32"/>
      <c r="I191" s="32"/>
      <c r="J191" s="32"/>
      <c r="K191" s="32"/>
      <c r="L191" s="32"/>
      <c r="M191" s="39"/>
      <c r="N191" s="43">
        <f t="shared" si="4"/>
        <v>4</v>
      </c>
      <c r="O191" s="33"/>
      <c r="P191" s="32">
        <v>9</v>
      </c>
      <c r="Q191" s="32">
        <v>189</v>
      </c>
      <c r="R191" s="32">
        <v>96</v>
      </c>
      <c r="S191" s="32">
        <v>96</v>
      </c>
      <c r="T191" s="32"/>
      <c r="U191" s="32"/>
      <c r="V191" s="32"/>
      <c r="W191" s="32"/>
      <c r="X191">
        <f t="shared" si="5"/>
        <v>2</v>
      </c>
      <c r="AC191">
        <v>189</v>
      </c>
      <c r="AD191">
        <v>305</v>
      </c>
      <c r="AE191">
        <v>305</v>
      </c>
      <c r="AF191">
        <v>480</v>
      </c>
      <c r="AG191">
        <v>240</v>
      </c>
      <c r="AI191">
        <v>189</v>
      </c>
      <c r="AJ191">
        <v>48</v>
      </c>
      <c r="AK191">
        <v>144</v>
      </c>
      <c r="AL191">
        <v>48</v>
      </c>
      <c r="AM191">
        <v>144</v>
      </c>
      <c r="AN191">
        <v>60</v>
      </c>
      <c r="AO191">
        <v>144</v>
      </c>
      <c r="AP191">
        <v>14</v>
      </c>
      <c r="AU191">
        <v>189</v>
      </c>
      <c r="AV191">
        <v>5</v>
      </c>
      <c r="AW191">
        <v>5</v>
      </c>
      <c r="AX191">
        <v>5</v>
      </c>
      <c r="AY191">
        <v>7</v>
      </c>
      <c r="AZ191">
        <v>9</v>
      </c>
      <c r="BC191">
        <v>189</v>
      </c>
      <c r="BD191">
        <v>14</v>
      </c>
      <c r="BE191">
        <v>14</v>
      </c>
      <c r="BF191">
        <v>14</v>
      </c>
      <c r="BG191">
        <v>14</v>
      </c>
      <c r="BH191">
        <v>17</v>
      </c>
      <c r="BK191" s="32">
        <v>189</v>
      </c>
      <c r="BL191">
        <v>10</v>
      </c>
      <c r="BM191">
        <v>2</v>
      </c>
    </row>
    <row r="192" spans="1:65" x14ac:dyDescent="0.45">
      <c r="A192" s="33"/>
      <c r="B192" s="32">
        <v>10</v>
      </c>
      <c r="C192" s="32">
        <v>190</v>
      </c>
      <c r="D192" s="32">
        <v>48</v>
      </c>
      <c r="E192" s="32">
        <v>48</v>
      </c>
      <c r="F192" s="32">
        <v>48</v>
      </c>
      <c r="G192" s="32">
        <v>48</v>
      </c>
      <c r="H192" s="32"/>
      <c r="I192" s="32"/>
      <c r="J192" s="32"/>
      <c r="K192" s="32"/>
      <c r="L192" s="32"/>
      <c r="M192" s="39"/>
      <c r="N192" s="43">
        <f t="shared" si="4"/>
        <v>4</v>
      </c>
      <c r="O192" s="33"/>
      <c r="P192" s="32">
        <v>10</v>
      </c>
      <c r="Q192" s="32">
        <v>190</v>
      </c>
      <c r="R192" s="32">
        <v>96</v>
      </c>
      <c r="S192" s="32">
        <v>96</v>
      </c>
      <c r="T192" s="32"/>
      <c r="U192" s="32"/>
      <c r="V192" s="32"/>
      <c r="W192" s="32"/>
      <c r="X192">
        <f t="shared" si="5"/>
        <v>2</v>
      </c>
      <c r="AC192">
        <v>190</v>
      </c>
      <c r="AD192">
        <v>305</v>
      </c>
      <c r="AE192">
        <v>305</v>
      </c>
      <c r="AF192">
        <v>480</v>
      </c>
      <c r="AG192">
        <v>240</v>
      </c>
      <c r="AI192">
        <v>190</v>
      </c>
      <c r="AJ192">
        <v>48</v>
      </c>
      <c r="AK192">
        <v>144</v>
      </c>
      <c r="AL192">
        <v>48</v>
      </c>
      <c r="AM192">
        <v>144</v>
      </c>
      <c r="AN192">
        <v>60</v>
      </c>
      <c r="AO192">
        <v>144</v>
      </c>
      <c r="AP192">
        <v>14</v>
      </c>
      <c r="AU192">
        <v>190</v>
      </c>
      <c r="AV192">
        <v>5</v>
      </c>
      <c r="AW192">
        <v>5</v>
      </c>
      <c r="AX192">
        <v>5</v>
      </c>
      <c r="AY192">
        <v>7</v>
      </c>
      <c r="AZ192">
        <v>9</v>
      </c>
      <c r="BC192">
        <v>190</v>
      </c>
      <c r="BD192">
        <v>14</v>
      </c>
      <c r="BE192">
        <v>14</v>
      </c>
      <c r="BF192">
        <v>14</v>
      </c>
      <c r="BG192">
        <v>14</v>
      </c>
      <c r="BH192">
        <v>17</v>
      </c>
      <c r="BK192" s="32">
        <v>190</v>
      </c>
      <c r="BL192">
        <v>10</v>
      </c>
      <c r="BM192">
        <v>2</v>
      </c>
    </row>
    <row r="193" spans="1:65" x14ac:dyDescent="0.45">
      <c r="A193" s="33"/>
      <c r="B193" s="32">
        <v>11</v>
      </c>
      <c r="C193" s="32">
        <v>191</v>
      </c>
      <c r="D193" s="32">
        <v>48</v>
      </c>
      <c r="E193" s="32">
        <v>48</v>
      </c>
      <c r="F193" s="32">
        <v>48</v>
      </c>
      <c r="G193" s="32">
        <v>48</v>
      </c>
      <c r="H193" s="32"/>
      <c r="I193" s="32"/>
      <c r="J193" s="32"/>
      <c r="K193" s="32"/>
      <c r="L193" s="32"/>
      <c r="M193" s="39"/>
      <c r="N193" s="43">
        <f t="shared" si="4"/>
        <v>4</v>
      </c>
      <c r="O193" s="33"/>
      <c r="P193" s="32">
        <v>11</v>
      </c>
      <c r="Q193" s="32">
        <v>191</v>
      </c>
      <c r="R193" s="32">
        <v>96</v>
      </c>
      <c r="S193" s="32">
        <v>96</v>
      </c>
      <c r="T193" s="32"/>
      <c r="U193" s="32"/>
      <c r="V193" s="32"/>
      <c r="W193" s="32"/>
      <c r="X193">
        <f t="shared" si="5"/>
        <v>2</v>
      </c>
      <c r="AC193">
        <v>191</v>
      </c>
      <c r="AD193">
        <v>305</v>
      </c>
      <c r="AE193">
        <v>305</v>
      </c>
      <c r="AF193">
        <v>480</v>
      </c>
      <c r="AG193">
        <v>240</v>
      </c>
      <c r="AI193">
        <v>191</v>
      </c>
      <c r="AJ193">
        <v>48</v>
      </c>
      <c r="AK193">
        <v>144</v>
      </c>
      <c r="AL193">
        <v>60</v>
      </c>
      <c r="AM193">
        <v>144</v>
      </c>
      <c r="AN193">
        <v>60</v>
      </c>
      <c r="AO193">
        <v>144</v>
      </c>
      <c r="AP193">
        <v>14</v>
      </c>
      <c r="AU193">
        <v>191</v>
      </c>
      <c r="AV193">
        <v>5</v>
      </c>
      <c r="AW193">
        <v>5</v>
      </c>
      <c r="AX193">
        <v>5</v>
      </c>
      <c r="AY193">
        <v>7</v>
      </c>
      <c r="AZ193">
        <v>9</v>
      </c>
      <c r="BC193">
        <v>191</v>
      </c>
      <c r="BD193">
        <v>14</v>
      </c>
      <c r="BE193">
        <v>14</v>
      </c>
      <c r="BF193">
        <v>14</v>
      </c>
      <c r="BG193">
        <v>14</v>
      </c>
      <c r="BH193">
        <v>17</v>
      </c>
      <c r="BK193" s="32">
        <v>191</v>
      </c>
      <c r="BL193">
        <v>10</v>
      </c>
      <c r="BM193">
        <v>2</v>
      </c>
    </row>
    <row r="194" spans="1:65" x14ac:dyDescent="0.45">
      <c r="A194" s="33">
        <v>16</v>
      </c>
      <c r="B194" s="32"/>
      <c r="C194" s="32">
        <v>192</v>
      </c>
      <c r="D194" s="32">
        <v>48</v>
      </c>
      <c r="E194" s="32">
        <v>48</v>
      </c>
      <c r="F194" s="32">
        <v>48</v>
      </c>
      <c r="G194" s="32">
        <v>48</v>
      </c>
      <c r="H194" s="32"/>
      <c r="I194" s="32"/>
      <c r="J194" s="32"/>
      <c r="K194" s="32"/>
      <c r="L194" s="32"/>
      <c r="M194" s="39"/>
      <c r="N194" s="43">
        <f t="shared" si="4"/>
        <v>4</v>
      </c>
      <c r="O194" s="33">
        <v>16</v>
      </c>
      <c r="P194" s="32"/>
      <c r="Q194" s="32">
        <v>192</v>
      </c>
      <c r="R194" s="32">
        <v>96</v>
      </c>
      <c r="S194" s="32">
        <v>96</v>
      </c>
      <c r="T194" s="32"/>
      <c r="U194" s="32"/>
      <c r="V194" s="32"/>
      <c r="W194" s="32"/>
      <c r="X194">
        <f t="shared" si="5"/>
        <v>2</v>
      </c>
      <c r="AC194">
        <v>192</v>
      </c>
      <c r="AD194">
        <v>305</v>
      </c>
      <c r="AE194">
        <v>305</v>
      </c>
      <c r="AF194">
        <v>480</v>
      </c>
      <c r="AG194">
        <v>240</v>
      </c>
      <c r="AI194">
        <v>192</v>
      </c>
      <c r="AJ194">
        <v>48</v>
      </c>
      <c r="AK194">
        <v>144</v>
      </c>
      <c r="AL194">
        <v>60</v>
      </c>
      <c r="AM194">
        <v>144</v>
      </c>
      <c r="AN194">
        <v>60</v>
      </c>
      <c r="AO194">
        <v>144</v>
      </c>
      <c r="AP194">
        <v>14</v>
      </c>
      <c r="AU194">
        <v>192</v>
      </c>
      <c r="AV194">
        <v>5</v>
      </c>
      <c r="AW194">
        <v>5</v>
      </c>
      <c r="AX194">
        <v>5</v>
      </c>
      <c r="AY194">
        <v>7</v>
      </c>
      <c r="AZ194">
        <v>9</v>
      </c>
      <c r="BC194">
        <v>192</v>
      </c>
      <c r="BD194">
        <v>14</v>
      </c>
      <c r="BE194">
        <v>14</v>
      </c>
      <c r="BF194">
        <v>14</v>
      </c>
      <c r="BG194">
        <v>14</v>
      </c>
      <c r="BH194">
        <v>17</v>
      </c>
      <c r="BK194" s="32">
        <v>192</v>
      </c>
      <c r="BL194">
        <v>10</v>
      </c>
      <c r="BM194">
        <v>2</v>
      </c>
    </row>
    <row r="195" spans="1:65" x14ac:dyDescent="0.45">
      <c r="A195" s="33"/>
      <c r="B195" s="32">
        <v>1</v>
      </c>
      <c r="C195" s="32">
        <v>193</v>
      </c>
      <c r="D195" s="32">
        <v>60</v>
      </c>
      <c r="E195" s="32">
        <v>48</v>
      </c>
      <c r="F195" s="32">
        <v>48</v>
      </c>
      <c r="G195" s="32">
        <v>48</v>
      </c>
      <c r="H195" s="32"/>
      <c r="I195" s="32"/>
      <c r="J195" s="32"/>
      <c r="K195" s="32"/>
      <c r="L195" s="32"/>
      <c r="M195" s="39"/>
      <c r="N195" s="43">
        <f t="shared" si="4"/>
        <v>4</v>
      </c>
      <c r="O195" s="33"/>
      <c r="P195" s="32">
        <v>1</v>
      </c>
      <c r="Q195" s="32">
        <v>193</v>
      </c>
      <c r="R195" s="32">
        <v>96</v>
      </c>
      <c r="S195" s="32">
        <v>60</v>
      </c>
      <c r="T195" s="32">
        <v>48</v>
      </c>
      <c r="U195" s="32"/>
      <c r="V195" s="32"/>
      <c r="W195" s="32"/>
      <c r="X195">
        <f t="shared" si="5"/>
        <v>3</v>
      </c>
      <c r="AC195">
        <v>193</v>
      </c>
      <c r="AD195">
        <v>321</v>
      </c>
      <c r="AE195">
        <v>321</v>
      </c>
      <c r="AF195">
        <v>480</v>
      </c>
      <c r="AG195">
        <v>240</v>
      </c>
      <c r="AI195">
        <v>193</v>
      </c>
      <c r="AJ195">
        <v>60</v>
      </c>
      <c r="AK195">
        <v>144</v>
      </c>
      <c r="AL195">
        <v>60</v>
      </c>
      <c r="AM195">
        <v>144</v>
      </c>
      <c r="AN195">
        <v>60</v>
      </c>
      <c r="AO195">
        <v>144</v>
      </c>
      <c r="AP195">
        <v>15</v>
      </c>
      <c r="AU195">
        <v>193</v>
      </c>
      <c r="AV195">
        <v>5</v>
      </c>
      <c r="AW195">
        <v>5</v>
      </c>
      <c r="AX195">
        <v>5</v>
      </c>
      <c r="AY195">
        <v>7</v>
      </c>
      <c r="AZ195">
        <v>9</v>
      </c>
      <c r="BC195">
        <v>193</v>
      </c>
      <c r="BD195">
        <v>14</v>
      </c>
      <c r="BE195">
        <v>14</v>
      </c>
      <c r="BF195">
        <v>14</v>
      </c>
      <c r="BG195">
        <v>14</v>
      </c>
      <c r="BH195">
        <v>17</v>
      </c>
      <c r="BK195" s="32">
        <v>193</v>
      </c>
      <c r="BL195">
        <v>10</v>
      </c>
      <c r="BM195">
        <v>2</v>
      </c>
    </row>
    <row r="196" spans="1:65" x14ac:dyDescent="0.45">
      <c r="A196" s="33"/>
      <c r="B196" s="32">
        <v>2</v>
      </c>
      <c r="C196" s="32">
        <v>194</v>
      </c>
      <c r="D196" s="32">
        <v>60</v>
      </c>
      <c r="E196" s="32">
        <v>48</v>
      </c>
      <c r="F196" s="32">
        <v>48</v>
      </c>
      <c r="G196" s="32">
        <v>48</v>
      </c>
      <c r="H196" s="32"/>
      <c r="I196" s="32"/>
      <c r="J196" s="32"/>
      <c r="K196" s="32"/>
      <c r="L196" s="32"/>
      <c r="M196" s="39"/>
      <c r="N196" s="43">
        <f t="shared" ref="N196:N259" si="6">COUNT(D196:M196)</f>
        <v>4</v>
      </c>
      <c r="O196" s="33"/>
      <c r="P196" s="32">
        <v>2</v>
      </c>
      <c r="Q196" s="32">
        <v>194</v>
      </c>
      <c r="R196" s="32">
        <v>96</v>
      </c>
      <c r="S196" s="32">
        <v>60</v>
      </c>
      <c r="T196" s="32">
        <v>48</v>
      </c>
      <c r="U196" s="32"/>
      <c r="V196" s="32"/>
      <c r="W196" s="32"/>
      <c r="X196">
        <f t="shared" ref="X196:X259" si="7">COUNT(R196:W196)</f>
        <v>3</v>
      </c>
      <c r="AC196">
        <v>194</v>
      </c>
      <c r="AD196">
        <v>321</v>
      </c>
      <c r="AE196">
        <v>321</v>
      </c>
      <c r="AF196">
        <v>480</v>
      </c>
      <c r="AG196">
        <v>240</v>
      </c>
      <c r="AI196">
        <v>194</v>
      </c>
      <c r="AJ196">
        <v>60</v>
      </c>
      <c r="AK196">
        <v>144</v>
      </c>
      <c r="AL196">
        <v>60</v>
      </c>
      <c r="AM196">
        <v>144</v>
      </c>
      <c r="AN196">
        <v>48</v>
      </c>
      <c r="AO196">
        <v>240</v>
      </c>
      <c r="AP196">
        <v>15</v>
      </c>
      <c r="AU196">
        <v>194</v>
      </c>
      <c r="AV196">
        <v>5</v>
      </c>
      <c r="AW196">
        <v>5</v>
      </c>
      <c r="AX196">
        <v>5</v>
      </c>
      <c r="AY196">
        <v>7</v>
      </c>
      <c r="AZ196">
        <v>9</v>
      </c>
      <c r="BC196">
        <v>194</v>
      </c>
      <c r="BD196">
        <v>14</v>
      </c>
      <c r="BE196">
        <v>14</v>
      </c>
      <c r="BF196">
        <v>14</v>
      </c>
      <c r="BG196">
        <v>14</v>
      </c>
      <c r="BH196">
        <v>17</v>
      </c>
      <c r="BK196" s="32">
        <v>194</v>
      </c>
      <c r="BL196">
        <v>10</v>
      </c>
      <c r="BM196">
        <v>2</v>
      </c>
    </row>
    <row r="197" spans="1:65" x14ac:dyDescent="0.45">
      <c r="A197" s="33"/>
      <c r="B197" s="32">
        <v>3</v>
      </c>
      <c r="C197" s="32">
        <v>195</v>
      </c>
      <c r="D197" s="32">
        <v>60</v>
      </c>
      <c r="E197" s="32">
        <v>48</v>
      </c>
      <c r="F197" s="32">
        <v>48</v>
      </c>
      <c r="G197" s="32">
        <v>48</v>
      </c>
      <c r="H197" s="32"/>
      <c r="I197" s="32"/>
      <c r="J197" s="32"/>
      <c r="K197" s="32"/>
      <c r="L197" s="32"/>
      <c r="M197" s="39"/>
      <c r="N197" s="43">
        <f t="shared" si="6"/>
        <v>4</v>
      </c>
      <c r="O197" s="33"/>
      <c r="P197" s="32">
        <v>3</v>
      </c>
      <c r="Q197" s="32">
        <v>195</v>
      </c>
      <c r="R197" s="32">
        <v>96</v>
      </c>
      <c r="S197" s="32">
        <v>60</v>
      </c>
      <c r="T197" s="32">
        <v>48</v>
      </c>
      <c r="U197" s="32"/>
      <c r="V197" s="32"/>
      <c r="W197" s="32"/>
      <c r="X197">
        <f t="shared" si="7"/>
        <v>3</v>
      </c>
      <c r="AC197">
        <v>195</v>
      </c>
      <c r="AD197">
        <v>321</v>
      </c>
      <c r="AE197">
        <v>321</v>
      </c>
      <c r="AF197">
        <v>480</v>
      </c>
      <c r="AG197">
        <v>240</v>
      </c>
      <c r="AI197">
        <v>195</v>
      </c>
      <c r="AJ197">
        <v>60</v>
      </c>
      <c r="AK197">
        <v>144</v>
      </c>
      <c r="AL197">
        <v>60</v>
      </c>
      <c r="AM197">
        <v>144</v>
      </c>
      <c r="AN197">
        <v>48</v>
      </c>
      <c r="AO197">
        <v>240</v>
      </c>
      <c r="AP197">
        <v>15</v>
      </c>
      <c r="AU197">
        <v>195</v>
      </c>
      <c r="AV197">
        <v>5</v>
      </c>
      <c r="AW197">
        <v>5</v>
      </c>
      <c r="AX197">
        <v>5</v>
      </c>
      <c r="AY197">
        <v>7</v>
      </c>
      <c r="AZ197">
        <v>9</v>
      </c>
      <c r="BC197">
        <v>195</v>
      </c>
      <c r="BD197">
        <v>14</v>
      </c>
      <c r="BE197">
        <v>14</v>
      </c>
      <c r="BF197">
        <v>14</v>
      </c>
      <c r="BG197">
        <v>14</v>
      </c>
      <c r="BH197">
        <v>17</v>
      </c>
      <c r="BK197" s="32">
        <v>195</v>
      </c>
      <c r="BL197">
        <v>10</v>
      </c>
      <c r="BM197">
        <v>2</v>
      </c>
    </row>
    <row r="198" spans="1:65" x14ac:dyDescent="0.45">
      <c r="A198" s="33"/>
      <c r="B198" s="32">
        <v>4</v>
      </c>
      <c r="C198" s="32">
        <v>196</v>
      </c>
      <c r="D198" s="32">
        <v>60</v>
      </c>
      <c r="E198" s="32">
        <v>48</v>
      </c>
      <c r="F198" s="32">
        <v>48</v>
      </c>
      <c r="G198" s="32">
        <v>48</v>
      </c>
      <c r="H198" s="32"/>
      <c r="I198" s="32"/>
      <c r="J198" s="32"/>
      <c r="K198" s="32"/>
      <c r="L198" s="32"/>
      <c r="M198" s="39"/>
      <c r="N198" s="43">
        <f t="shared" si="6"/>
        <v>4</v>
      </c>
      <c r="O198" s="33"/>
      <c r="P198" s="32">
        <v>4</v>
      </c>
      <c r="Q198" s="32">
        <v>196</v>
      </c>
      <c r="R198" s="32">
        <v>96</v>
      </c>
      <c r="S198" s="32">
        <v>60</v>
      </c>
      <c r="T198" s="32">
        <v>48</v>
      </c>
      <c r="U198" s="32"/>
      <c r="V198" s="32"/>
      <c r="W198" s="32"/>
      <c r="X198">
        <f t="shared" si="7"/>
        <v>3</v>
      </c>
      <c r="AC198">
        <v>196</v>
      </c>
      <c r="AD198">
        <v>321</v>
      </c>
      <c r="AE198">
        <v>321</v>
      </c>
      <c r="AF198">
        <v>480</v>
      </c>
      <c r="AG198">
        <v>240</v>
      </c>
      <c r="AI198">
        <v>196</v>
      </c>
      <c r="AJ198">
        <v>60</v>
      </c>
      <c r="AK198">
        <v>144</v>
      </c>
      <c r="AL198">
        <v>60</v>
      </c>
      <c r="AM198">
        <v>144</v>
      </c>
      <c r="AN198">
        <v>48</v>
      </c>
      <c r="AO198">
        <v>240</v>
      </c>
      <c r="AP198">
        <v>15</v>
      </c>
      <c r="AU198">
        <v>196</v>
      </c>
      <c r="AV198">
        <v>5</v>
      </c>
      <c r="AW198">
        <v>5</v>
      </c>
      <c r="AX198">
        <v>5</v>
      </c>
      <c r="AY198">
        <v>7</v>
      </c>
      <c r="AZ198">
        <v>9</v>
      </c>
      <c r="BC198">
        <v>196</v>
      </c>
      <c r="BD198">
        <v>14</v>
      </c>
      <c r="BE198">
        <v>14</v>
      </c>
      <c r="BF198">
        <v>14</v>
      </c>
      <c r="BG198">
        <v>14</v>
      </c>
      <c r="BH198">
        <v>17</v>
      </c>
      <c r="BK198" s="32">
        <v>196</v>
      </c>
      <c r="BL198">
        <v>10</v>
      </c>
      <c r="BM198">
        <v>2</v>
      </c>
    </row>
    <row r="199" spans="1:65" x14ac:dyDescent="0.45">
      <c r="A199" s="33"/>
      <c r="B199" s="32">
        <v>5</v>
      </c>
      <c r="C199" s="32">
        <v>197</v>
      </c>
      <c r="D199" s="32">
        <v>60</v>
      </c>
      <c r="E199" s="32">
        <v>48</v>
      </c>
      <c r="F199" s="32">
        <v>48</v>
      </c>
      <c r="G199" s="32">
        <v>48</v>
      </c>
      <c r="H199" s="32"/>
      <c r="I199" s="32"/>
      <c r="J199" s="32"/>
      <c r="K199" s="32"/>
      <c r="L199" s="32"/>
      <c r="M199" s="39"/>
      <c r="N199" s="43">
        <f t="shared" si="6"/>
        <v>4</v>
      </c>
      <c r="O199" s="33"/>
      <c r="P199" s="32">
        <v>5</v>
      </c>
      <c r="Q199" s="32">
        <v>197</v>
      </c>
      <c r="R199" s="32">
        <v>96</v>
      </c>
      <c r="S199" s="32">
        <v>60</v>
      </c>
      <c r="T199" s="32">
        <v>48</v>
      </c>
      <c r="U199" s="32"/>
      <c r="V199" s="32"/>
      <c r="W199" s="32"/>
      <c r="X199">
        <f t="shared" si="7"/>
        <v>3</v>
      </c>
      <c r="AC199">
        <v>197</v>
      </c>
      <c r="AD199">
        <v>321</v>
      </c>
      <c r="AE199">
        <v>321</v>
      </c>
      <c r="AF199">
        <v>480</v>
      </c>
      <c r="AG199">
        <v>240</v>
      </c>
      <c r="AI199">
        <v>197</v>
      </c>
      <c r="AJ199">
        <v>60</v>
      </c>
      <c r="AK199">
        <v>144</v>
      </c>
      <c r="AL199">
        <v>60</v>
      </c>
      <c r="AM199">
        <v>144</v>
      </c>
      <c r="AN199">
        <v>48</v>
      </c>
      <c r="AO199">
        <v>240</v>
      </c>
      <c r="AP199">
        <v>15</v>
      </c>
      <c r="AU199">
        <v>197</v>
      </c>
      <c r="AV199">
        <v>5</v>
      </c>
      <c r="AW199">
        <v>5</v>
      </c>
      <c r="AX199">
        <v>5</v>
      </c>
      <c r="AY199">
        <v>7</v>
      </c>
      <c r="AZ199">
        <v>9</v>
      </c>
      <c r="BC199">
        <v>197</v>
      </c>
      <c r="BD199">
        <v>14</v>
      </c>
      <c r="BE199">
        <v>14</v>
      </c>
      <c r="BF199">
        <v>14</v>
      </c>
      <c r="BG199">
        <v>14</v>
      </c>
      <c r="BH199">
        <v>17</v>
      </c>
      <c r="BK199" s="32">
        <v>197</v>
      </c>
      <c r="BL199">
        <v>10</v>
      </c>
      <c r="BM199">
        <v>2</v>
      </c>
    </row>
    <row r="200" spans="1:65" x14ac:dyDescent="0.45">
      <c r="A200" s="33"/>
      <c r="B200" s="32">
        <v>6</v>
      </c>
      <c r="C200" s="32">
        <v>198</v>
      </c>
      <c r="D200" s="32">
        <v>60</v>
      </c>
      <c r="E200" s="32">
        <v>48</v>
      </c>
      <c r="F200" s="32">
        <v>48</v>
      </c>
      <c r="G200" s="32">
        <v>48</v>
      </c>
      <c r="H200" s="32"/>
      <c r="I200" s="32"/>
      <c r="J200" s="32"/>
      <c r="K200" s="32"/>
      <c r="L200" s="32"/>
      <c r="M200" s="39"/>
      <c r="N200" s="43">
        <f t="shared" si="6"/>
        <v>4</v>
      </c>
      <c r="O200" s="33"/>
      <c r="P200" s="32">
        <v>6</v>
      </c>
      <c r="Q200" s="32">
        <v>198</v>
      </c>
      <c r="R200" s="32">
        <v>96</v>
      </c>
      <c r="S200" s="32">
        <v>60</v>
      </c>
      <c r="T200" s="32">
        <v>48</v>
      </c>
      <c r="U200" s="32"/>
      <c r="V200" s="32"/>
      <c r="W200" s="32"/>
      <c r="X200">
        <f t="shared" si="7"/>
        <v>3</v>
      </c>
      <c r="AC200">
        <v>198</v>
      </c>
      <c r="AD200">
        <v>321</v>
      </c>
      <c r="AE200">
        <v>321</v>
      </c>
      <c r="AF200">
        <v>480</v>
      </c>
      <c r="AG200">
        <v>240</v>
      </c>
      <c r="AI200">
        <v>198</v>
      </c>
      <c r="AJ200">
        <v>60</v>
      </c>
      <c r="AK200">
        <v>144</v>
      </c>
      <c r="AL200">
        <v>60</v>
      </c>
      <c r="AM200">
        <v>144</v>
      </c>
      <c r="AN200">
        <v>48</v>
      </c>
      <c r="AO200">
        <v>240</v>
      </c>
      <c r="AP200">
        <v>15</v>
      </c>
      <c r="AU200">
        <v>198</v>
      </c>
      <c r="AV200">
        <v>5</v>
      </c>
      <c r="AW200">
        <v>5</v>
      </c>
      <c r="AX200">
        <v>5</v>
      </c>
      <c r="AY200">
        <v>7</v>
      </c>
      <c r="AZ200">
        <v>9</v>
      </c>
      <c r="BC200">
        <v>198</v>
      </c>
      <c r="BD200">
        <v>14</v>
      </c>
      <c r="BE200">
        <v>14</v>
      </c>
      <c r="BF200">
        <v>14</v>
      </c>
      <c r="BG200">
        <v>14</v>
      </c>
      <c r="BH200">
        <v>17</v>
      </c>
      <c r="BK200" s="32">
        <v>198</v>
      </c>
      <c r="BL200">
        <v>10</v>
      </c>
      <c r="BM200">
        <v>2</v>
      </c>
    </row>
    <row r="201" spans="1:65" x14ac:dyDescent="0.45">
      <c r="A201" s="33"/>
      <c r="B201" s="32">
        <v>7</v>
      </c>
      <c r="C201" s="32">
        <v>199</v>
      </c>
      <c r="D201" s="32">
        <v>60</v>
      </c>
      <c r="E201" s="32">
        <v>48</v>
      </c>
      <c r="F201" s="32">
        <v>48</v>
      </c>
      <c r="G201" s="32">
        <v>48</v>
      </c>
      <c r="H201" s="32"/>
      <c r="I201" s="32"/>
      <c r="J201" s="32"/>
      <c r="K201" s="32"/>
      <c r="L201" s="32"/>
      <c r="M201" s="39"/>
      <c r="N201" s="43">
        <f t="shared" si="6"/>
        <v>4</v>
      </c>
      <c r="O201" s="33"/>
      <c r="P201" s="32">
        <v>7</v>
      </c>
      <c r="Q201" s="32">
        <v>199</v>
      </c>
      <c r="R201" s="32">
        <v>96</v>
      </c>
      <c r="S201" s="32">
        <v>60</v>
      </c>
      <c r="T201" s="32">
        <v>48</v>
      </c>
      <c r="U201" s="32"/>
      <c r="V201" s="32"/>
      <c r="W201" s="32"/>
      <c r="X201">
        <f t="shared" si="7"/>
        <v>3</v>
      </c>
      <c r="AC201">
        <v>199</v>
      </c>
      <c r="AD201">
        <v>321</v>
      </c>
      <c r="AE201">
        <v>321</v>
      </c>
      <c r="AF201">
        <v>480</v>
      </c>
      <c r="AG201">
        <v>240</v>
      </c>
      <c r="AI201">
        <v>199</v>
      </c>
      <c r="AJ201">
        <v>60</v>
      </c>
      <c r="AK201">
        <v>144</v>
      </c>
      <c r="AL201">
        <v>60</v>
      </c>
      <c r="AM201">
        <v>144</v>
      </c>
      <c r="AN201">
        <v>48</v>
      </c>
      <c r="AO201">
        <v>240</v>
      </c>
      <c r="AP201">
        <v>15</v>
      </c>
      <c r="AU201">
        <v>199</v>
      </c>
      <c r="AV201">
        <v>5</v>
      </c>
      <c r="AW201">
        <v>5</v>
      </c>
      <c r="AX201">
        <v>5</v>
      </c>
      <c r="AY201">
        <v>7</v>
      </c>
      <c r="AZ201">
        <v>9</v>
      </c>
      <c r="BC201">
        <v>199</v>
      </c>
      <c r="BD201">
        <v>14</v>
      </c>
      <c r="BE201">
        <v>14</v>
      </c>
      <c r="BF201">
        <v>14</v>
      </c>
      <c r="BG201">
        <v>14</v>
      </c>
      <c r="BH201">
        <v>17</v>
      </c>
      <c r="BK201" s="32">
        <v>199</v>
      </c>
      <c r="BL201">
        <v>10</v>
      </c>
      <c r="BM201">
        <v>2</v>
      </c>
    </row>
    <row r="202" spans="1:65" x14ac:dyDescent="0.45">
      <c r="A202" s="33"/>
      <c r="B202" s="32">
        <v>8</v>
      </c>
      <c r="C202" s="32">
        <v>200</v>
      </c>
      <c r="D202" s="32">
        <v>60</v>
      </c>
      <c r="E202" s="32">
        <v>48</v>
      </c>
      <c r="F202" s="32">
        <v>48</v>
      </c>
      <c r="G202" s="32">
        <v>48</v>
      </c>
      <c r="H202" s="32"/>
      <c r="I202" s="32"/>
      <c r="J202" s="32"/>
      <c r="K202" s="32"/>
      <c r="L202" s="32"/>
      <c r="M202" s="39"/>
      <c r="N202" s="43">
        <f t="shared" si="6"/>
        <v>4</v>
      </c>
      <c r="O202" s="33"/>
      <c r="P202" s="32">
        <v>8</v>
      </c>
      <c r="Q202" s="32">
        <v>200</v>
      </c>
      <c r="R202" s="32">
        <v>96</v>
      </c>
      <c r="S202" s="32">
        <v>60</v>
      </c>
      <c r="T202" s="32">
        <v>48</v>
      </c>
      <c r="U202" s="32"/>
      <c r="V202" s="32"/>
      <c r="W202" s="32"/>
      <c r="X202">
        <f t="shared" si="7"/>
        <v>3</v>
      </c>
      <c r="AC202">
        <v>200</v>
      </c>
      <c r="AD202">
        <v>321</v>
      </c>
      <c r="AE202">
        <v>321</v>
      </c>
      <c r="AF202">
        <v>480</v>
      </c>
      <c r="AG202">
        <v>240</v>
      </c>
      <c r="AI202">
        <v>200</v>
      </c>
      <c r="AJ202">
        <v>60</v>
      </c>
      <c r="AK202">
        <v>144</v>
      </c>
      <c r="AL202">
        <v>60</v>
      </c>
      <c r="AM202">
        <v>144</v>
      </c>
      <c r="AN202">
        <v>48</v>
      </c>
      <c r="AO202">
        <v>240</v>
      </c>
      <c r="AP202">
        <v>15</v>
      </c>
      <c r="AU202">
        <v>200</v>
      </c>
      <c r="AV202">
        <v>5</v>
      </c>
      <c r="AW202">
        <v>5</v>
      </c>
      <c r="AX202">
        <v>5</v>
      </c>
      <c r="AY202">
        <v>7</v>
      </c>
      <c r="AZ202">
        <v>9</v>
      </c>
      <c r="BC202">
        <v>200</v>
      </c>
      <c r="BD202">
        <v>14</v>
      </c>
      <c r="BE202">
        <v>14</v>
      </c>
      <c r="BF202">
        <v>14</v>
      </c>
      <c r="BG202">
        <v>14</v>
      </c>
      <c r="BH202">
        <v>17</v>
      </c>
      <c r="BK202" s="32">
        <v>200</v>
      </c>
      <c r="BL202">
        <v>10</v>
      </c>
      <c r="BM202">
        <v>2</v>
      </c>
    </row>
    <row r="203" spans="1:65" x14ac:dyDescent="0.45">
      <c r="A203" s="33"/>
      <c r="B203" s="32">
        <v>9</v>
      </c>
      <c r="C203" s="32">
        <v>201</v>
      </c>
      <c r="D203" s="32">
        <v>60</v>
      </c>
      <c r="E203" s="32">
        <v>48</v>
      </c>
      <c r="F203" s="32">
        <v>48</v>
      </c>
      <c r="G203" s="32">
        <v>48</v>
      </c>
      <c r="H203" s="32"/>
      <c r="I203" s="32"/>
      <c r="J203" s="32"/>
      <c r="K203" s="32"/>
      <c r="L203" s="32"/>
      <c r="M203" s="39"/>
      <c r="N203" s="43">
        <f t="shared" si="6"/>
        <v>4</v>
      </c>
      <c r="O203" s="33"/>
      <c r="P203" s="32">
        <v>9</v>
      </c>
      <c r="Q203" s="32">
        <v>201</v>
      </c>
      <c r="R203" s="32">
        <v>96</v>
      </c>
      <c r="S203" s="32">
        <v>60</v>
      </c>
      <c r="T203" s="32">
        <v>48</v>
      </c>
      <c r="U203" s="32"/>
      <c r="V203" s="32"/>
      <c r="W203" s="32"/>
      <c r="X203">
        <f t="shared" si="7"/>
        <v>3</v>
      </c>
      <c r="AC203">
        <v>201</v>
      </c>
      <c r="AD203">
        <v>321</v>
      </c>
      <c r="AE203">
        <v>321</v>
      </c>
      <c r="AF203">
        <v>480</v>
      </c>
      <c r="AG203">
        <v>240</v>
      </c>
      <c r="AI203">
        <v>201</v>
      </c>
      <c r="AJ203">
        <v>60</v>
      </c>
      <c r="AK203">
        <v>144</v>
      </c>
      <c r="AL203">
        <v>60</v>
      </c>
      <c r="AM203">
        <v>144</v>
      </c>
      <c r="AN203">
        <v>48</v>
      </c>
      <c r="AO203">
        <v>240</v>
      </c>
      <c r="AP203">
        <v>15</v>
      </c>
      <c r="AU203">
        <v>201</v>
      </c>
      <c r="AV203">
        <v>5</v>
      </c>
      <c r="AW203">
        <v>5</v>
      </c>
      <c r="AX203">
        <v>5</v>
      </c>
      <c r="AY203">
        <v>7</v>
      </c>
      <c r="AZ203">
        <v>9</v>
      </c>
      <c r="BC203">
        <v>201</v>
      </c>
      <c r="BD203">
        <v>14</v>
      </c>
      <c r="BE203">
        <v>14</v>
      </c>
      <c r="BF203">
        <v>14</v>
      </c>
      <c r="BG203">
        <v>14</v>
      </c>
      <c r="BH203">
        <v>17</v>
      </c>
      <c r="BK203" s="32">
        <v>201</v>
      </c>
      <c r="BL203">
        <v>10</v>
      </c>
      <c r="BM203">
        <v>2</v>
      </c>
    </row>
    <row r="204" spans="1:65" x14ac:dyDescent="0.45">
      <c r="A204" s="33"/>
      <c r="B204" s="32">
        <v>10</v>
      </c>
      <c r="C204" s="32">
        <v>202</v>
      </c>
      <c r="D204" s="32">
        <v>60</v>
      </c>
      <c r="E204" s="32">
        <v>48</v>
      </c>
      <c r="F204" s="32">
        <v>48</v>
      </c>
      <c r="G204" s="32">
        <v>48</v>
      </c>
      <c r="H204" s="32"/>
      <c r="I204" s="32"/>
      <c r="J204" s="32"/>
      <c r="K204" s="32"/>
      <c r="L204" s="32"/>
      <c r="M204" s="39"/>
      <c r="N204" s="43">
        <f t="shared" si="6"/>
        <v>4</v>
      </c>
      <c r="O204" s="33"/>
      <c r="P204" s="32">
        <v>10</v>
      </c>
      <c r="Q204" s="32">
        <v>202</v>
      </c>
      <c r="R204" s="32">
        <v>96</v>
      </c>
      <c r="S204" s="32">
        <v>60</v>
      </c>
      <c r="T204" s="32">
        <v>48</v>
      </c>
      <c r="U204" s="32"/>
      <c r="V204" s="32"/>
      <c r="W204" s="32"/>
      <c r="X204">
        <f t="shared" si="7"/>
        <v>3</v>
      </c>
      <c r="AC204">
        <v>202</v>
      </c>
      <c r="AD204">
        <v>321</v>
      </c>
      <c r="AE204">
        <v>321</v>
      </c>
      <c r="AF204">
        <v>480</v>
      </c>
      <c r="AG204">
        <v>240</v>
      </c>
      <c r="AI204">
        <v>202</v>
      </c>
      <c r="AJ204">
        <v>60</v>
      </c>
      <c r="AK204">
        <v>144</v>
      </c>
      <c r="AL204">
        <v>60</v>
      </c>
      <c r="AM204">
        <v>144</v>
      </c>
      <c r="AN204">
        <v>48</v>
      </c>
      <c r="AO204">
        <v>240</v>
      </c>
      <c r="AP204">
        <v>15</v>
      </c>
      <c r="AU204">
        <v>202</v>
      </c>
      <c r="AV204">
        <v>5</v>
      </c>
      <c r="AW204">
        <v>5</v>
      </c>
      <c r="AX204">
        <v>5</v>
      </c>
      <c r="AY204">
        <v>7</v>
      </c>
      <c r="AZ204">
        <v>9</v>
      </c>
      <c r="BC204">
        <v>202</v>
      </c>
      <c r="BD204">
        <v>14</v>
      </c>
      <c r="BE204">
        <v>14</v>
      </c>
      <c r="BF204">
        <v>14</v>
      </c>
      <c r="BG204">
        <v>14</v>
      </c>
      <c r="BH204">
        <v>17</v>
      </c>
      <c r="BK204" s="32">
        <v>202</v>
      </c>
      <c r="BL204">
        <v>10</v>
      </c>
      <c r="BM204">
        <v>2</v>
      </c>
    </row>
    <row r="205" spans="1:65" x14ac:dyDescent="0.45">
      <c r="A205" s="33"/>
      <c r="B205" s="32">
        <v>11</v>
      </c>
      <c r="C205" s="32">
        <v>203</v>
      </c>
      <c r="D205" s="32">
        <v>60</v>
      </c>
      <c r="E205" s="32">
        <v>48</v>
      </c>
      <c r="F205" s="32">
        <v>48</v>
      </c>
      <c r="G205" s="32">
        <v>48</v>
      </c>
      <c r="H205" s="32"/>
      <c r="I205" s="32"/>
      <c r="J205" s="32"/>
      <c r="K205" s="32"/>
      <c r="L205" s="32"/>
      <c r="M205" s="39"/>
      <c r="N205" s="43">
        <f t="shared" si="6"/>
        <v>4</v>
      </c>
      <c r="O205" s="33"/>
      <c r="P205" s="32">
        <v>11</v>
      </c>
      <c r="Q205" s="32">
        <v>203</v>
      </c>
      <c r="R205" s="32">
        <v>96</v>
      </c>
      <c r="S205" s="32">
        <v>60</v>
      </c>
      <c r="T205" s="32">
        <v>48</v>
      </c>
      <c r="U205" s="32"/>
      <c r="V205" s="32"/>
      <c r="W205" s="32"/>
      <c r="X205">
        <f t="shared" si="7"/>
        <v>3</v>
      </c>
      <c r="AC205">
        <v>203</v>
      </c>
      <c r="AD205">
        <v>321</v>
      </c>
      <c r="AE205">
        <v>321</v>
      </c>
      <c r="AF205">
        <v>480</v>
      </c>
      <c r="AG205">
        <v>240</v>
      </c>
      <c r="AI205">
        <v>203</v>
      </c>
      <c r="AJ205">
        <v>60</v>
      </c>
      <c r="AK205">
        <v>144</v>
      </c>
      <c r="AL205">
        <v>60</v>
      </c>
      <c r="AM205">
        <v>144</v>
      </c>
      <c r="AN205">
        <v>48</v>
      </c>
      <c r="AO205">
        <v>240</v>
      </c>
      <c r="AP205">
        <v>15</v>
      </c>
      <c r="AU205">
        <v>203</v>
      </c>
      <c r="AV205">
        <v>5</v>
      </c>
      <c r="AW205">
        <v>5</v>
      </c>
      <c r="AX205">
        <v>5</v>
      </c>
      <c r="AY205">
        <v>7</v>
      </c>
      <c r="AZ205">
        <v>9</v>
      </c>
      <c r="BC205">
        <v>203</v>
      </c>
      <c r="BD205">
        <v>14</v>
      </c>
      <c r="BE205">
        <v>14</v>
      </c>
      <c r="BF205">
        <v>14</v>
      </c>
      <c r="BG205">
        <v>14</v>
      </c>
      <c r="BH205">
        <v>17</v>
      </c>
      <c r="BK205" s="32">
        <v>203</v>
      </c>
      <c r="BL205">
        <v>10</v>
      </c>
      <c r="BM205">
        <v>2</v>
      </c>
    </row>
    <row r="206" spans="1:65" x14ac:dyDescent="0.45">
      <c r="A206" s="33">
        <v>17</v>
      </c>
      <c r="B206" s="32"/>
      <c r="C206" s="32">
        <v>204</v>
      </c>
      <c r="D206" s="32">
        <v>60</v>
      </c>
      <c r="E206" s="32">
        <v>48</v>
      </c>
      <c r="F206" s="32">
        <v>48</v>
      </c>
      <c r="G206" s="32">
        <v>48</v>
      </c>
      <c r="H206" s="32"/>
      <c r="I206" s="32"/>
      <c r="J206" s="32"/>
      <c r="K206" s="32"/>
      <c r="L206" s="32"/>
      <c r="M206" s="39"/>
      <c r="N206" s="43">
        <f t="shared" si="6"/>
        <v>4</v>
      </c>
      <c r="O206" s="33">
        <v>17</v>
      </c>
      <c r="P206" s="32"/>
      <c r="Q206" s="32">
        <v>204</v>
      </c>
      <c r="R206" s="32">
        <v>96</v>
      </c>
      <c r="S206" s="32">
        <v>60</v>
      </c>
      <c r="T206" s="32">
        <v>48</v>
      </c>
      <c r="U206" s="32"/>
      <c r="V206" s="32"/>
      <c r="W206" s="32"/>
      <c r="X206">
        <f t="shared" si="7"/>
        <v>3</v>
      </c>
      <c r="AC206">
        <v>204</v>
      </c>
      <c r="AD206">
        <v>321</v>
      </c>
      <c r="AE206">
        <v>321</v>
      </c>
      <c r="AF206">
        <v>480</v>
      </c>
      <c r="AG206">
        <v>240</v>
      </c>
      <c r="AI206">
        <v>204</v>
      </c>
      <c r="AJ206">
        <v>60</v>
      </c>
      <c r="AK206">
        <v>144</v>
      </c>
      <c r="AL206">
        <v>60</v>
      </c>
      <c r="AM206">
        <v>144</v>
      </c>
      <c r="AN206">
        <v>48</v>
      </c>
      <c r="AO206">
        <v>240</v>
      </c>
      <c r="AP206">
        <v>15</v>
      </c>
      <c r="AU206">
        <v>204</v>
      </c>
      <c r="AV206">
        <v>5</v>
      </c>
      <c r="AW206">
        <v>5</v>
      </c>
      <c r="AX206">
        <v>5</v>
      </c>
      <c r="AY206">
        <v>7</v>
      </c>
      <c r="AZ206">
        <v>9</v>
      </c>
      <c r="BC206">
        <v>204</v>
      </c>
      <c r="BD206">
        <v>14</v>
      </c>
      <c r="BE206">
        <v>14</v>
      </c>
      <c r="BF206">
        <v>14</v>
      </c>
      <c r="BG206">
        <v>14</v>
      </c>
      <c r="BH206">
        <v>17</v>
      </c>
      <c r="BK206" s="32">
        <v>204</v>
      </c>
      <c r="BL206">
        <v>10</v>
      </c>
      <c r="BM206">
        <v>2</v>
      </c>
    </row>
    <row r="207" spans="1:65" x14ac:dyDescent="0.45">
      <c r="A207" s="33"/>
      <c r="B207" s="32">
        <v>1</v>
      </c>
      <c r="C207" s="32">
        <v>205</v>
      </c>
      <c r="D207" s="32">
        <v>60</v>
      </c>
      <c r="E207" s="32">
        <v>60</v>
      </c>
      <c r="F207" s="32">
        <v>48</v>
      </c>
      <c r="G207" s="32">
        <v>48</v>
      </c>
      <c r="H207" s="32"/>
      <c r="I207" s="32"/>
      <c r="J207" s="32"/>
      <c r="K207" s="32"/>
      <c r="L207" s="32"/>
      <c r="M207" s="39"/>
      <c r="N207" s="43">
        <f t="shared" si="6"/>
        <v>4</v>
      </c>
      <c r="O207" s="33"/>
      <c r="P207" s="32">
        <v>1</v>
      </c>
      <c r="Q207" s="32">
        <v>205</v>
      </c>
      <c r="R207" s="32">
        <v>120</v>
      </c>
      <c r="S207" s="32">
        <v>96</v>
      </c>
      <c r="T207" s="32"/>
      <c r="U207" s="32"/>
      <c r="V207" s="32"/>
      <c r="W207" s="32"/>
      <c r="X207">
        <f t="shared" si="7"/>
        <v>2</v>
      </c>
      <c r="BK207" s="32">
        <v>205</v>
      </c>
      <c r="BL207">
        <v>10</v>
      </c>
      <c r="BM207">
        <v>2</v>
      </c>
    </row>
    <row r="208" spans="1:65" x14ac:dyDescent="0.45">
      <c r="A208" s="33"/>
      <c r="B208" s="32">
        <v>2</v>
      </c>
      <c r="C208" s="32">
        <v>206</v>
      </c>
      <c r="D208" s="32">
        <v>60</v>
      </c>
      <c r="E208" s="32">
        <v>60</v>
      </c>
      <c r="F208" s="32">
        <v>48</v>
      </c>
      <c r="G208" s="32">
        <v>48</v>
      </c>
      <c r="H208" s="32"/>
      <c r="I208" s="32"/>
      <c r="J208" s="32"/>
      <c r="K208" s="32"/>
      <c r="L208" s="32"/>
      <c r="M208" s="39"/>
      <c r="N208" s="43">
        <f t="shared" si="6"/>
        <v>4</v>
      </c>
      <c r="O208" s="33"/>
      <c r="P208" s="32">
        <v>2</v>
      </c>
      <c r="Q208" s="32">
        <v>206</v>
      </c>
      <c r="R208" s="32">
        <v>120</v>
      </c>
      <c r="S208" s="32">
        <v>96</v>
      </c>
      <c r="T208" s="32"/>
      <c r="U208" s="32"/>
      <c r="V208" s="32"/>
      <c r="W208" s="32"/>
      <c r="X208">
        <f t="shared" si="7"/>
        <v>2</v>
      </c>
      <c r="BK208" s="32">
        <v>206</v>
      </c>
      <c r="BL208">
        <v>10</v>
      </c>
      <c r="BM208">
        <v>2</v>
      </c>
    </row>
    <row r="209" spans="1:65" x14ac:dyDescent="0.45">
      <c r="A209" s="33"/>
      <c r="B209" s="32">
        <v>3</v>
      </c>
      <c r="C209" s="32">
        <v>207</v>
      </c>
      <c r="D209" s="32">
        <v>60</v>
      </c>
      <c r="E209" s="32">
        <v>60</v>
      </c>
      <c r="F209" s="32">
        <v>48</v>
      </c>
      <c r="G209" s="32">
        <v>48</v>
      </c>
      <c r="H209" s="32"/>
      <c r="I209" s="32"/>
      <c r="J209" s="32"/>
      <c r="K209" s="32"/>
      <c r="L209" s="32"/>
      <c r="M209" s="39"/>
      <c r="N209" s="43">
        <f t="shared" si="6"/>
        <v>4</v>
      </c>
      <c r="O209" s="33"/>
      <c r="P209" s="32">
        <v>3</v>
      </c>
      <c r="Q209" s="32">
        <v>207</v>
      </c>
      <c r="R209" s="32">
        <v>120</v>
      </c>
      <c r="S209" s="32">
        <v>96</v>
      </c>
      <c r="T209" s="32"/>
      <c r="U209" s="32"/>
      <c r="V209" s="32"/>
      <c r="W209" s="32"/>
      <c r="X209">
        <f t="shared" si="7"/>
        <v>2</v>
      </c>
      <c r="BK209" s="32">
        <v>207</v>
      </c>
      <c r="BL209">
        <v>10</v>
      </c>
      <c r="BM209">
        <v>2</v>
      </c>
    </row>
    <row r="210" spans="1:65" x14ac:dyDescent="0.45">
      <c r="A210" s="33"/>
      <c r="B210" s="32">
        <v>4</v>
      </c>
      <c r="C210" s="32">
        <v>208</v>
      </c>
      <c r="D210" s="32">
        <v>60</v>
      </c>
      <c r="E210" s="32">
        <v>60</v>
      </c>
      <c r="F210" s="32">
        <v>48</v>
      </c>
      <c r="G210" s="32">
        <v>48</v>
      </c>
      <c r="H210" s="32"/>
      <c r="I210" s="32"/>
      <c r="J210" s="32"/>
      <c r="K210" s="32"/>
      <c r="L210" s="32"/>
      <c r="M210" s="39"/>
      <c r="N210" s="43">
        <f t="shared" si="6"/>
        <v>4</v>
      </c>
      <c r="O210" s="33"/>
      <c r="P210" s="32">
        <v>4</v>
      </c>
      <c r="Q210" s="32">
        <v>208</v>
      </c>
      <c r="R210" s="32">
        <v>120</v>
      </c>
      <c r="S210" s="32">
        <v>96</v>
      </c>
      <c r="T210" s="32"/>
      <c r="U210" s="32"/>
      <c r="V210" s="32"/>
      <c r="W210" s="32"/>
      <c r="X210">
        <f t="shared" si="7"/>
        <v>2</v>
      </c>
      <c r="BK210" s="32">
        <v>208</v>
      </c>
      <c r="BL210">
        <v>10</v>
      </c>
      <c r="BM210">
        <v>2</v>
      </c>
    </row>
    <row r="211" spans="1:65" x14ac:dyDescent="0.45">
      <c r="A211" s="33"/>
      <c r="B211" s="32">
        <v>5</v>
      </c>
      <c r="C211" s="32">
        <v>209</v>
      </c>
      <c r="D211" s="32">
        <v>60</v>
      </c>
      <c r="E211" s="32">
        <v>60</v>
      </c>
      <c r="F211" s="32">
        <v>48</v>
      </c>
      <c r="G211" s="32">
        <v>48</v>
      </c>
      <c r="H211" s="32"/>
      <c r="I211" s="32"/>
      <c r="J211" s="32"/>
      <c r="K211" s="32"/>
      <c r="L211" s="32"/>
      <c r="M211" s="39"/>
      <c r="N211" s="43">
        <f t="shared" si="6"/>
        <v>4</v>
      </c>
      <c r="O211" s="33"/>
      <c r="P211" s="32">
        <v>5</v>
      </c>
      <c r="Q211" s="32">
        <v>209</v>
      </c>
      <c r="R211" s="32">
        <v>120</v>
      </c>
      <c r="S211" s="32">
        <v>96</v>
      </c>
      <c r="T211" s="32"/>
      <c r="U211" s="32"/>
      <c r="V211" s="32"/>
      <c r="W211" s="32"/>
      <c r="X211">
        <f t="shared" si="7"/>
        <v>2</v>
      </c>
      <c r="BK211" s="32">
        <v>209</v>
      </c>
      <c r="BL211">
        <v>10</v>
      </c>
      <c r="BM211">
        <v>2</v>
      </c>
    </row>
    <row r="212" spans="1:65" x14ac:dyDescent="0.45">
      <c r="A212" s="33"/>
      <c r="B212" s="32">
        <v>6</v>
      </c>
      <c r="C212" s="32">
        <v>210</v>
      </c>
      <c r="D212" s="32">
        <v>60</v>
      </c>
      <c r="E212" s="32">
        <v>60</v>
      </c>
      <c r="F212" s="32">
        <v>48</v>
      </c>
      <c r="G212" s="32">
        <v>48</v>
      </c>
      <c r="H212" s="32"/>
      <c r="I212" s="32"/>
      <c r="J212" s="32"/>
      <c r="K212" s="32"/>
      <c r="L212" s="32"/>
      <c r="M212" s="39"/>
      <c r="N212" s="43">
        <f t="shared" si="6"/>
        <v>4</v>
      </c>
      <c r="O212" s="33"/>
      <c r="P212" s="32">
        <v>6</v>
      </c>
      <c r="Q212" s="32">
        <v>210</v>
      </c>
      <c r="R212" s="32">
        <v>120</v>
      </c>
      <c r="S212" s="32">
        <v>96</v>
      </c>
      <c r="T212" s="32"/>
      <c r="U212" s="32"/>
      <c r="V212" s="32"/>
      <c r="W212" s="32"/>
      <c r="X212">
        <f t="shared" si="7"/>
        <v>2</v>
      </c>
      <c r="BK212" s="32">
        <v>210</v>
      </c>
      <c r="BL212">
        <v>10</v>
      </c>
      <c r="BM212">
        <v>2</v>
      </c>
    </row>
    <row r="213" spans="1:65" x14ac:dyDescent="0.45">
      <c r="A213" s="33"/>
      <c r="B213" s="32">
        <v>7</v>
      </c>
      <c r="C213" s="32">
        <v>211</v>
      </c>
      <c r="D213" s="32">
        <v>60</v>
      </c>
      <c r="E213" s="32">
        <v>60</v>
      </c>
      <c r="F213" s="32">
        <v>48</v>
      </c>
      <c r="G213" s="32">
        <v>48</v>
      </c>
      <c r="H213" s="32"/>
      <c r="I213" s="32"/>
      <c r="J213" s="32"/>
      <c r="K213" s="32"/>
      <c r="L213" s="32"/>
      <c r="M213" s="39"/>
      <c r="N213" s="43">
        <f t="shared" si="6"/>
        <v>4</v>
      </c>
      <c r="O213" s="33"/>
      <c r="P213" s="32">
        <v>7</v>
      </c>
      <c r="Q213" s="32">
        <v>211</v>
      </c>
      <c r="R213" s="32">
        <v>120</v>
      </c>
      <c r="S213" s="32">
        <v>96</v>
      </c>
      <c r="T213" s="32"/>
      <c r="U213" s="32"/>
      <c r="V213" s="32"/>
      <c r="W213" s="32"/>
      <c r="X213">
        <f t="shared" si="7"/>
        <v>2</v>
      </c>
      <c r="BK213" s="32">
        <v>211</v>
      </c>
      <c r="BL213">
        <v>10</v>
      </c>
      <c r="BM213">
        <v>2</v>
      </c>
    </row>
    <row r="214" spans="1:65" x14ac:dyDescent="0.45">
      <c r="A214" s="33"/>
      <c r="B214" s="32">
        <v>8</v>
      </c>
      <c r="C214" s="32">
        <v>212</v>
      </c>
      <c r="D214" s="32">
        <v>60</v>
      </c>
      <c r="E214" s="32">
        <v>60</v>
      </c>
      <c r="F214" s="32">
        <v>48</v>
      </c>
      <c r="G214" s="32">
        <v>48</v>
      </c>
      <c r="H214" s="32"/>
      <c r="I214" s="32"/>
      <c r="J214" s="32"/>
      <c r="K214" s="32"/>
      <c r="L214" s="32"/>
      <c r="M214" s="39"/>
      <c r="N214" s="43">
        <f t="shared" si="6"/>
        <v>4</v>
      </c>
      <c r="O214" s="33"/>
      <c r="P214" s="32">
        <v>8</v>
      </c>
      <c r="Q214" s="32">
        <v>212</v>
      </c>
      <c r="R214" s="32">
        <v>120</v>
      </c>
      <c r="S214" s="32">
        <v>96</v>
      </c>
      <c r="T214" s="32"/>
      <c r="U214" s="32"/>
      <c r="V214" s="32"/>
      <c r="W214" s="32"/>
      <c r="X214">
        <f t="shared" si="7"/>
        <v>2</v>
      </c>
      <c r="BK214" s="32">
        <v>212</v>
      </c>
      <c r="BL214">
        <v>10</v>
      </c>
      <c r="BM214">
        <v>2</v>
      </c>
    </row>
    <row r="215" spans="1:65" x14ac:dyDescent="0.45">
      <c r="A215" s="33"/>
      <c r="B215" s="32">
        <v>9</v>
      </c>
      <c r="C215" s="32">
        <v>213</v>
      </c>
      <c r="D215" s="32">
        <v>60</v>
      </c>
      <c r="E215" s="32">
        <v>60</v>
      </c>
      <c r="F215" s="32">
        <v>48</v>
      </c>
      <c r="G215" s="32">
        <v>48</v>
      </c>
      <c r="H215" s="32"/>
      <c r="I215" s="32"/>
      <c r="J215" s="32"/>
      <c r="K215" s="32"/>
      <c r="L215" s="32"/>
      <c r="M215" s="39"/>
      <c r="N215" s="43">
        <f t="shared" si="6"/>
        <v>4</v>
      </c>
      <c r="O215" s="33"/>
      <c r="P215" s="32">
        <v>9</v>
      </c>
      <c r="Q215" s="32">
        <v>213</v>
      </c>
      <c r="R215" s="32">
        <v>120</v>
      </c>
      <c r="S215" s="32">
        <v>96</v>
      </c>
      <c r="T215" s="32"/>
      <c r="U215" s="32"/>
      <c r="V215" s="32"/>
      <c r="W215" s="32"/>
      <c r="X215">
        <f t="shared" si="7"/>
        <v>2</v>
      </c>
      <c r="BK215" s="32">
        <v>213</v>
      </c>
      <c r="BL215">
        <v>10</v>
      </c>
      <c r="BM215">
        <v>2</v>
      </c>
    </row>
    <row r="216" spans="1:65" x14ac:dyDescent="0.45">
      <c r="A216" s="33"/>
      <c r="B216" s="32">
        <v>10</v>
      </c>
      <c r="C216" s="32">
        <v>214</v>
      </c>
      <c r="D216" s="32">
        <v>60</v>
      </c>
      <c r="E216" s="32">
        <v>60</v>
      </c>
      <c r="F216" s="32">
        <v>48</v>
      </c>
      <c r="G216" s="32">
        <v>48</v>
      </c>
      <c r="H216" s="32"/>
      <c r="I216" s="32"/>
      <c r="J216" s="32"/>
      <c r="K216" s="32"/>
      <c r="L216" s="32"/>
      <c r="M216" s="39"/>
      <c r="N216" s="43">
        <f t="shared" si="6"/>
        <v>4</v>
      </c>
      <c r="O216" s="33"/>
      <c r="P216" s="32">
        <v>10</v>
      </c>
      <c r="Q216" s="32">
        <v>214</v>
      </c>
      <c r="R216" s="32">
        <v>120</v>
      </c>
      <c r="S216" s="32">
        <v>96</v>
      </c>
      <c r="T216" s="32"/>
      <c r="U216" s="32"/>
      <c r="V216" s="32"/>
      <c r="W216" s="32"/>
      <c r="X216">
        <f t="shared" si="7"/>
        <v>2</v>
      </c>
      <c r="BK216" s="32">
        <v>214</v>
      </c>
      <c r="BL216">
        <v>10</v>
      </c>
      <c r="BM216">
        <v>2</v>
      </c>
    </row>
    <row r="217" spans="1:65" x14ac:dyDescent="0.45">
      <c r="A217" s="33"/>
      <c r="B217" s="32">
        <v>11</v>
      </c>
      <c r="C217" s="32">
        <v>215</v>
      </c>
      <c r="D217" s="32">
        <v>60</v>
      </c>
      <c r="E217" s="32">
        <v>60</v>
      </c>
      <c r="F217" s="32">
        <v>48</v>
      </c>
      <c r="G217" s="32">
        <v>48</v>
      </c>
      <c r="H217" s="32"/>
      <c r="I217" s="32"/>
      <c r="J217" s="32"/>
      <c r="K217" s="32"/>
      <c r="L217" s="32"/>
      <c r="M217" s="39"/>
      <c r="N217" s="43">
        <f t="shared" si="6"/>
        <v>4</v>
      </c>
      <c r="O217" s="33"/>
      <c r="P217" s="32">
        <v>11</v>
      </c>
      <c r="Q217" s="32">
        <v>215</v>
      </c>
      <c r="R217" s="32">
        <v>120</v>
      </c>
      <c r="S217" s="32">
        <v>96</v>
      </c>
      <c r="T217" s="32"/>
      <c r="U217" s="32"/>
      <c r="V217" s="32"/>
      <c r="W217" s="32"/>
      <c r="X217">
        <f t="shared" si="7"/>
        <v>2</v>
      </c>
      <c r="BK217" s="32">
        <v>215</v>
      </c>
      <c r="BL217">
        <v>10</v>
      </c>
      <c r="BM217">
        <v>2</v>
      </c>
    </row>
    <row r="218" spans="1:65" x14ac:dyDescent="0.45">
      <c r="A218" s="33">
        <v>18</v>
      </c>
      <c r="B218" s="32"/>
      <c r="C218" s="32">
        <v>216</v>
      </c>
      <c r="D218" s="32">
        <v>60</v>
      </c>
      <c r="E218" s="32">
        <v>60</v>
      </c>
      <c r="F218" s="32">
        <v>48</v>
      </c>
      <c r="G218" s="32">
        <v>48</v>
      </c>
      <c r="H218" s="32"/>
      <c r="I218" s="32"/>
      <c r="J218" s="32"/>
      <c r="K218" s="32"/>
      <c r="L218" s="32"/>
      <c r="M218" s="39"/>
      <c r="N218" s="43">
        <f t="shared" si="6"/>
        <v>4</v>
      </c>
      <c r="O218" s="33">
        <v>18</v>
      </c>
      <c r="P218" s="32"/>
      <c r="Q218" s="32">
        <v>216</v>
      </c>
      <c r="R218" s="32">
        <v>120</v>
      </c>
      <c r="S218" s="32">
        <v>96</v>
      </c>
      <c r="T218" s="32"/>
      <c r="U218" s="32"/>
      <c r="V218" s="32"/>
      <c r="W218" s="32"/>
      <c r="X218">
        <f t="shared" si="7"/>
        <v>2</v>
      </c>
      <c r="BK218" s="32">
        <v>216</v>
      </c>
      <c r="BL218">
        <v>10</v>
      </c>
      <c r="BM218">
        <v>2</v>
      </c>
    </row>
    <row r="219" spans="1:65" x14ac:dyDescent="0.45">
      <c r="A219" s="33"/>
      <c r="B219" s="32">
        <v>1</v>
      </c>
      <c r="C219" s="32">
        <v>217</v>
      </c>
      <c r="D219" s="32">
        <v>60</v>
      </c>
      <c r="E219" s="32">
        <v>60</v>
      </c>
      <c r="F219" s="32">
        <v>60</v>
      </c>
      <c r="G219" s="32">
        <v>48</v>
      </c>
      <c r="H219" s="32"/>
      <c r="I219" s="32"/>
      <c r="J219" s="32"/>
      <c r="K219" s="32"/>
      <c r="L219" s="32"/>
      <c r="M219" s="39"/>
      <c r="N219" s="43">
        <f t="shared" si="6"/>
        <v>4</v>
      </c>
      <c r="O219" s="33"/>
      <c r="P219" s="32">
        <v>1</v>
      </c>
      <c r="Q219" s="32">
        <v>217</v>
      </c>
      <c r="R219" s="32">
        <v>120</v>
      </c>
      <c r="S219" s="32">
        <v>60</v>
      </c>
      <c r="T219" s="32">
        <v>48</v>
      </c>
      <c r="U219" s="32"/>
      <c r="V219" s="32"/>
      <c r="W219" s="32"/>
      <c r="X219">
        <f t="shared" si="7"/>
        <v>3</v>
      </c>
      <c r="BK219" s="32">
        <v>217</v>
      </c>
      <c r="BL219">
        <v>10</v>
      </c>
      <c r="BM219">
        <v>2</v>
      </c>
    </row>
    <row r="220" spans="1:65" x14ac:dyDescent="0.45">
      <c r="A220" s="33"/>
      <c r="B220" s="32">
        <v>2</v>
      </c>
      <c r="C220" s="32">
        <v>218</v>
      </c>
      <c r="D220" s="32">
        <v>60</v>
      </c>
      <c r="E220" s="32">
        <v>60</v>
      </c>
      <c r="F220" s="32">
        <v>60</v>
      </c>
      <c r="G220" s="32">
        <v>48</v>
      </c>
      <c r="H220" s="32"/>
      <c r="I220" s="32"/>
      <c r="J220" s="32"/>
      <c r="K220" s="32"/>
      <c r="L220" s="32"/>
      <c r="M220" s="39"/>
      <c r="N220" s="43">
        <f t="shared" si="6"/>
        <v>4</v>
      </c>
      <c r="O220" s="33"/>
      <c r="P220" s="32">
        <v>2</v>
      </c>
      <c r="Q220" s="32">
        <v>218</v>
      </c>
      <c r="R220" s="32">
        <v>120</v>
      </c>
      <c r="S220" s="32">
        <v>60</v>
      </c>
      <c r="T220" s="32">
        <v>48</v>
      </c>
      <c r="U220" s="32"/>
      <c r="V220" s="32"/>
      <c r="W220" s="32"/>
      <c r="X220">
        <f t="shared" si="7"/>
        <v>3</v>
      </c>
      <c r="BK220" s="32">
        <v>218</v>
      </c>
      <c r="BL220">
        <v>10</v>
      </c>
      <c r="BM220">
        <v>2</v>
      </c>
    </row>
    <row r="221" spans="1:65" x14ac:dyDescent="0.45">
      <c r="A221" s="33"/>
      <c r="B221" s="32">
        <v>3</v>
      </c>
      <c r="C221" s="32">
        <v>219</v>
      </c>
      <c r="D221" s="32">
        <v>60</v>
      </c>
      <c r="E221" s="32">
        <v>60</v>
      </c>
      <c r="F221" s="32">
        <v>60</v>
      </c>
      <c r="G221" s="32">
        <v>48</v>
      </c>
      <c r="H221" s="32"/>
      <c r="I221" s="32"/>
      <c r="J221" s="32"/>
      <c r="K221" s="32"/>
      <c r="L221" s="32"/>
      <c r="M221" s="39"/>
      <c r="N221" s="43">
        <f t="shared" si="6"/>
        <v>4</v>
      </c>
      <c r="O221" s="33"/>
      <c r="P221" s="32">
        <v>3</v>
      </c>
      <c r="Q221" s="32">
        <v>219</v>
      </c>
      <c r="R221" s="32">
        <v>120</v>
      </c>
      <c r="S221" s="32">
        <v>60</v>
      </c>
      <c r="T221" s="32">
        <v>48</v>
      </c>
      <c r="U221" s="32"/>
      <c r="V221" s="32"/>
      <c r="W221" s="32"/>
      <c r="X221">
        <f t="shared" si="7"/>
        <v>3</v>
      </c>
      <c r="BK221" s="32">
        <v>219</v>
      </c>
      <c r="BL221">
        <v>10</v>
      </c>
      <c r="BM221">
        <v>2</v>
      </c>
    </row>
    <row r="222" spans="1:65" x14ac:dyDescent="0.45">
      <c r="A222" s="33"/>
      <c r="B222" s="32">
        <v>4</v>
      </c>
      <c r="C222" s="32">
        <v>220</v>
      </c>
      <c r="D222" s="32">
        <v>60</v>
      </c>
      <c r="E222" s="32">
        <v>60</v>
      </c>
      <c r="F222" s="32">
        <v>60</v>
      </c>
      <c r="G222" s="32">
        <v>48</v>
      </c>
      <c r="H222" s="32"/>
      <c r="I222" s="32"/>
      <c r="J222" s="32"/>
      <c r="K222" s="32"/>
      <c r="L222" s="32"/>
      <c r="M222" s="39"/>
      <c r="N222" s="43">
        <f t="shared" si="6"/>
        <v>4</v>
      </c>
      <c r="O222" s="33"/>
      <c r="P222" s="32">
        <v>4</v>
      </c>
      <c r="Q222" s="32">
        <v>220</v>
      </c>
      <c r="R222" s="32">
        <v>120</v>
      </c>
      <c r="S222" s="32">
        <v>60</v>
      </c>
      <c r="T222" s="32">
        <v>48</v>
      </c>
      <c r="U222" s="32"/>
      <c r="V222" s="32"/>
      <c r="W222" s="32"/>
      <c r="X222">
        <f t="shared" si="7"/>
        <v>3</v>
      </c>
      <c r="BK222" s="32">
        <v>220</v>
      </c>
      <c r="BL222">
        <v>10</v>
      </c>
      <c r="BM222">
        <v>2</v>
      </c>
    </row>
    <row r="223" spans="1:65" x14ac:dyDescent="0.45">
      <c r="A223" s="33"/>
      <c r="B223" s="32">
        <v>5</v>
      </c>
      <c r="C223" s="32">
        <v>221</v>
      </c>
      <c r="D223" s="32">
        <v>60</v>
      </c>
      <c r="E223" s="32">
        <v>60</v>
      </c>
      <c r="F223" s="32">
        <v>60</v>
      </c>
      <c r="G223" s="32">
        <v>48</v>
      </c>
      <c r="H223" s="32"/>
      <c r="I223" s="32"/>
      <c r="J223" s="32"/>
      <c r="K223" s="32"/>
      <c r="L223" s="32"/>
      <c r="M223" s="39"/>
      <c r="N223" s="43">
        <f t="shared" si="6"/>
        <v>4</v>
      </c>
      <c r="O223" s="33"/>
      <c r="P223" s="32">
        <v>5</v>
      </c>
      <c r="Q223" s="32">
        <v>221</v>
      </c>
      <c r="R223" s="32">
        <v>120</v>
      </c>
      <c r="S223" s="32">
        <v>60</v>
      </c>
      <c r="T223" s="32">
        <v>48</v>
      </c>
      <c r="U223" s="32"/>
      <c r="V223" s="32"/>
      <c r="W223" s="32"/>
      <c r="X223">
        <f t="shared" si="7"/>
        <v>3</v>
      </c>
      <c r="BK223" s="32">
        <v>221</v>
      </c>
      <c r="BL223">
        <v>10</v>
      </c>
      <c r="BM223">
        <v>2</v>
      </c>
    </row>
    <row r="224" spans="1:65" x14ac:dyDescent="0.45">
      <c r="A224" s="33"/>
      <c r="B224" s="32">
        <v>6</v>
      </c>
      <c r="C224" s="32">
        <v>222</v>
      </c>
      <c r="D224" s="32">
        <v>60</v>
      </c>
      <c r="E224" s="32">
        <v>60</v>
      </c>
      <c r="F224" s="32">
        <v>60</v>
      </c>
      <c r="G224" s="32">
        <v>48</v>
      </c>
      <c r="H224" s="32"/>
      <c r="I224" s="32"/>
      <c r="J224" s="32"/>
      <c r="K224" s="32"/>
      <c r="L224" s="32"/>
      <c r="M224" s="39"/>
      <c r="N224" s="43">
        <f t="shared" si="6"/>
        <v>4</v>
      </c>
      <c r="O224" s="33"/>
      <c r="P224" s="32">
        <v>6</v>
      </c>
      <c r="Q224" s="32">
        <v>222</v>
      </c>
      <c r="R224" s="32">
        <v>120</v>
      </c>
      <c r="S224" s="32">
        <v>60</v>
      </c>
      <c r="T224" s="32">
        <v>48</v>
      </c>
      <c r="U224" s="32"/>
      <c r="V224" s="32"/>
      <c r="W224" s="32"/>
      <c r="X224">
        <f t="shared" si="7"/>
        <v>3</v>
      </c>
      <c r="BK224" s="32">
        <v>222</v>
      </c>
      <c r="BL224">
        <v>10</v>
      </c>
      <c r="BM224">
        <v>2</v>
      </c>
    </row>
    <row r="225" spans="1:65" x14ac:dyDescent="0.45">
      <c r="A225" s="33"/>
      <c r="B225" s="32">
        <v>7</v>
      </c>
      <c r="C225" s="32">
        <v>223</v>
      </c>
      <c r="D225" s="32">
        <v>60</v>
      </c>
      <c r="E225" s="32">
        <v>60</v>
      </c>
      <c r="F225" s="32">
        <v>60</v>
      </c>
      <c r="G225" s="32">
        <v>48</v>
      </c>
      <c r="H225" s="32"/>
      <c r="I225" s="32"/>
      <c r="J225" s="32"/>
      <c r="K225" s="32"/>
      <c r="L225" s="32"/>
      <c r="M225" s="39"/>
      <c r="N225" s="43">
        <f t="shared" si="6"/>
        <v>4</v>
      </c>
      <c r="O225" s="33"/>
      <c r="P225" s="32">
        <v>7</v>
      </c>
      <c r="Q225" s="32">
        <v>223</v>
      </c>
      <c r="R225" s="32">
        <v>120</v>
      </c>
      <c r="S225" s="32">
        <v>60</v>
      </c>
      <c r="T225" s="32">
        <v>48</v>
      </c>
      <c r="U225" s="32"/>
      <c r="V225" s="32"/>
      <c r="W225" s="32"/>
      <c r="X225">
        <f t="shared" si="7"/>
        <v>3</v>
      </c>
      <c r="BK225" s="32">
        <v>223</v>
      </c>
      <c r="BL225">
        <v>10</v>
      </c>
      <c r="BM225">
        <v>2</v>
      </c>
    </row>
    <row r="226" spans="1:65" x14ac:dyDescent="0.45">
      <c r="A226" s="33"/>
      <c r="B226" s="32">
        <v>8</v>
      </c>
      <c r="C226" s="32">
        <v>224</v>
      </c>
      <c r="D226" s="32">
        <v>60</v>
      </c>
      <c r="E226" s="32">
        <v>60</v>
      </c>
      <c r="F226" s="32">
        <v>60</v>
      </c>
      <c r="G226" s="32">
        <v>48</v>
      </c>
      <c r="H226" s="32"/>
      <c r="I226" s="32"/>
      <c r="J226" s="32"/>
      <c r="K226" s="32"/>
      <c r="L226" s="32"/>
      <c r="M226" s="39"/>
      <c r="N226" s="43">
        <f t="shared" si="6"/>
        <v>4</v>
      </c>
      <c r="O226" s="33"/>
      <c r="P226" s="32">
        <v>8</v>
      </c>
      <c r="Q226" s="32">
        <v>224</v>
      </c>
      <c r="R226" s="32">
        <v>120</v>
      </c>
      <c r="S226" s="32">
        <v>60</v>
      </c>
      <c r="T226" s="32">
        <v>48</v>
      </c>
      <c r="U226" s="32"/>
      <c r="V226" s="32"/>
      <c r="W226" s="32"/>
      <c r="X226">
        <f t="shared" si="7"/>
        <v>3</v>
      </c>
      <c r="BK226" s="32">
        <v>224</v>
      </c>
      <c r="BL226">
        <v>10</v>
      </c>
      <c r="BM226">
        <v>2</v>
      </c>
    </row>
    <row r="227" spans="1:65" x14ac:dyDescent="0.45">
      <c r="A227" s="33"/>
      <c r="B227" s="32">
        <v>9</v>
      </c>
      <c r="C227" s="32">
        <v>225</v>
      </c>
      <c r="D227" s="32">
        <v>60</v>
      </c>
      <c r="E227" s="32">
        <v>60</v>
      </c>
      <c r="F227" s="32">
        <v>60</v>
      </c>
      <c r="G227" s="32">
        <v>48</v>
      </c>
      <c r="H227" s="32"/>
      <c r="I227" s="32"/>
      <c r="J227" s="32"/>
      <c r="K227" s="32"/>
      <c r="L227" s="32"/>
      <c r="M227" s="39"/>
      <c r="N227" s="43">
        <f t="shared" si="6"/>
        <v>4</v>
      </c>
      <c r="O227" s="33"/>
      <c r="P227" s="32">
        <v>9</v>
      </c>
      <c r="Q227" s="32">
        <v>225</v>
      </c>
      <c r="R227" s="32">
        <v>120</v>
      </c>
      <c r="S227" s="32">
        <v>60</v>
      </c>
      <c r="T227" s="32">
        <v>48</v>
      </c>
      <c r="U227" s="32"/>
      <c r="V227" s="32"/>
      <c r="W227" s="32"/>
      <c r="X227">
        <f t="shared" si="7"/>
        <v>3</v>
      </c>
      <c r="BK227" s="32">
        <v>225</v>
      </c>
      <c r="BL227">
        <v>10</v>
      </c>
      <c r="BM227">
        <v>2</v>
      </c>
    </row>
    <row r="228" spans="1:65" x14ac:dyDescent="0.45">
      <c r="A228" s="33"/>
      <c r="B228" s="32">
        <v>10</v>
      </c>
      <c r="C228" s="32">
        <v>226</v>
      </c>
      <c r="D228" s="32">
        <v>60</v>
      </c>
      <c r="E228" s="32">
        <v>60</v>
      </c>
      <c r="F228" s="32">
        <v>60</v>
      </c>
      <c r="G228" s="32">
        <v>48</v>
      </c>
      <c r="H228" s="32"/>
      <c r="I228" s="32"/>
      <c r="J228" s="32"/>
      <c r="K228" s="32"/>
      <c r="L228" s="32"/>
      <c r="M228" s="39"/>
      <c r="N228" s="43">
        <f t="shared" si="6"/>
        <v>4</v>
      </c>
      <c r="O228" s="33"/>
      <c r="P228" s="32">
        <v>10</v>
      </c>
      <c r="Q228" s="32">
        <v>226</v>
      </c>
      <c r="R228" s="32">
        <v>120</v>
      </c>
      <c r="S228" s="32">
        <v>60</v>
      </c>
      <c r="T228" s="32">
        <v>48</v>
      </c>
      <c r="U228" s="32"/>
      <c r="V228" s="32"/>
      <c r="W228" s="32"/>
      <c r="X228">
        <f t="shared" si="7"/>
        <v>3</v>
      </c>
      <c r="BK228" s="32">
        <v>226</v>
      </c>
      <c r="BL228">
        <v>10</v>
      </c>
      <c r="BM228">
        <v>2</v>
      </c>
    </row>
    <row r="229" spans="1:65" x14ac:dyDescent="0.45">
      <c r="A229" s="33"/>
      <c r="B229" s="32">
        <v>11</v>
      </c>
      <c r="C229" s="32">
        <v>227</v>
      </c>
      <c r="D229" s="32">
        <v>60</v>
      </c>
      <c r="E229" s="32">
        <v>60</v>
      </c>
      <c r="F229" s="32">
        <v>60</v>
      </c>
      <c r="G229" s="32">
        <v>48</v>
      </c>
      <c r="H229" s="32"/>
      <c r="I229" s="32"/>
      <c r="J229" s="32"/>
      <c r="K229" s="32"/>
      <c r="L229" s="32"/>
      <c r="M229" s="39"/>
      <c r="N229" s="43">
        <f t="shared" si="6"/>
        <v>4</v>
      </c>
      <c r="O229" s="33"/>
      <c r="P229" s="32">
        <v>11</v>
      </c>
      <c r="Q229" s="32">
        <v>227</v>
      </c>
      <c r="R229" s="32">
        <v>120</v>
      </c>
      <c r="S229" s="32">
        <v>60</v>
      </c>
      <c r="T229" s="32">
        <v>48</v>
      </c>
      <c r="U229" s="32"/>
      <c r="V229" s="32"/>
      <c r="W229" s="32"/>
      <c r="X229">
        <f t="shared" si="7"/>
        <v>3</v>
      </c>
      <c r="BK229" s="32">
        <v>227</v>
      </c>
      <c r="BL229">
        <v>10</v>
      </c>
      <c r="BM229">
        <v>2</v>
      </c>
    </row>
    <row r="230" spans="1:65" x14ac:dyDescent="0.45">
      <c r="A230" s="33">
        <v>19</v>
      </c>
      <c r="B230" s="32"/>
      <c r="C230" s="32">
        <v>228</v>
      </c>
      <c r="D230" s="32">
        <v>60</v>
      </c>
      <c r="E230" s="32">
        <v>60</v>
      </c>
      <c r="F230" s="32">
        <v>60</v>
      </c>
      <c r="G230" s="32">
        <v>48</v>
      </c>
      <c r="H230" s="32"/>
      <c r="I230" s="32"/>
      <c r="J230" s="32"/>
      <c r="K230" s="32"/>
      <c r="L230" s="32"/>
      <c r="M230" s="39"/>
      <c r="N230" s="43">
        <f t="shared" si="6"/>
        <v>4</v>
      </c>
      <c r="O230" s="33">
        <v>19</v>
      </c>
      <c r="P230" s="32"/>
      <c r="Q230" s="32">
        <v>228</v>
      </c>
      <c r="R230" s="32">
        <v>120</v>
      </c>
      <c r="S230" s="32">
        <v>60</v>
      </c>
      <c r="T230" s="32">
        <v>48</v>
      </c>
      <c r="U230" s="32"/>
      <c r="V230" s="32"/>
      <c r="W230" s="32"/>
      <c r="X230">
        <f t="shared" si="7"/>
        <v>3</v>
      </c>
      <c r="BK230" s="32">
        <v>228</v>
      </c>
      <c r="BL230">
        <v>10</v>
      </c>
      <c r="BM230">
        <v>2</v>
      </c>
    </row>
    <row r="231" spans="1:65" x14ac:dyDescent="0.45">
      <c r="A231" s="33"/>
      <c r="B231" s="32">
        <v>1</v>
      </c>
      <c r="C231" s="32">
        <v>229</v>
      </c>
      <c r="D231" s="32">
        <v>60</v>
      </c>
      <c r="E231" s="32">
        <v>60</v>
      </c>
      <c r="F231" s="32">
        <v>60</v>
      </c>
      <c r="G231" s="32">
        <v>60</v>
      </c>
      <c r="H231" s="32"/>
      <c r="I231" s="32"/>
      <c r="J231" s="32"/>
      <c r="K231" s="32"/>
      <c r="L231" s="32"/>
      <c r="M231" s="39"/>
      <c r="N231" s="43">
        <f t="shared" si="6"/>
        <v>4</v>
      </c>
      <c r="O231" s="33"/>
      <c r="P231" s="32">
        <v>1</v>
      </c>
      <c r="Q231" s="32">
        <v>229</v>
      </c>
      <c r="R231" s="32">
        <v>120</v>
      </c>
      <c r="S231" s="32">
        <v>120</v>
      </c>
      <c r="T231" s="32"/>
      <c r="U231" s="32"/>
      <c r="V231" s="32"/>
      <c r="W231" s="32"/>
      <c r="X231">
        <f t="shared" si="7"/>
        <v>2</v>
      </c>
      <c r="BK231" s="32">
        <v>229</v>
      </c>
      <c r="BL231">
        <v>10</v>
      </c>
      <c r="BM231">
        <v>2</v>
      </c>
    </row>
    <row r="232" spans="1:65" x14ac:dyDescent="0.45">
      <c r="A232" s="33"/>
      <c r="B232" s="32">
        <v>2</v>
      </c>
      <c r="C232" s="32">
        <v>230</v>
      </c>
      <c r="D232" s="32">
        <v>60</v>
      </c>
      <c r="E232" s="32">
        <v>60</v>
      </c>
      <c r="F232" s="32">
        <v>60</v>
      </c>
      <c r="G232" s="32">
        <v>60</v>
      </c>
      <c r="H232" s="32"/>
      <c r="I232" s="32"/>
      <c r="J232" s="32"/>
      <c r="K232" s="32"/>
      <c r="L232" s="32"/>
      <c r="M232" s="39"/>
      <c r="N232" s="43">
        <f t="shared" si="6"/>
        <v>4</v>
      </c>
      <c r="O232" s="33"/>
      <c r="P232" s="32">
        <v>2</v>
      </c>
      <c r="Q232" s="32">
        <v>230</v>
      </c>
      <c r="R232" s="32">
        <v>120</v>
      </c>
      <c r="S232" s="32">
        <v>120</v>
      </c>
      <c r="T232" s="32"/>
      <c r="U232" s="32"/>
      <c r="V232" s="32"/>
      <c r="W232" s="32"/>
      <c r="X232">
        <f t="shared" si="7"/>
        <v>2</v>
      </c>
      <c r="BK232" s="32">
        <v>230</v>
      </c>
      <c r="BL232">
        <v>10</v>
      </c>
      <c r="BM232">
        <v>2</v>
      </c>
    </row>
    <row r="233" spans="1:65" x14ac:dyDescent="0.45">
      <c r="A233" s="33"/>
      <c r="B233" s="32">
        <v>3</v>
      </c>
      <c r="C233" s="32">
        <v>231</v>
      </c>
      <c r="D233" s="32">
        <v>60</v>
      </c>
      <c r="E233" s="32">
        <v>60</v>
      </c>
      <c r="F233" s="32">
        <v>60</v>
      </c>
      <c r="G233" s="32">
        <v>60</v>
      </c>
      <c r="H233" s="32"/>
      <c r="I233" s="32"/>
      <c r="J233" s="32"/>
      <c r="K233" s="32"/>
      <c r="L233" s="32"/>
      <c r="M233" s="39"/>
      <c r="N233" s="43">
        <f t="shared" si="6"/>
        <v>4</v>
      </c>
      <c r="O233" s="33"/>
      <c r="P233" s="32">
        <v>3</v>
      </c>
      <c r="Q233" s="32">
        <v>231</v>
      </c>
      <c r="R233" s="32">
        <v>120</v>
      </c>
      <c r="S233" s="32">
        <v>120</v>
      </c>
      <c r="T233" s="32"/>
      <c r="U233" s="32"/>
      <c r="V233" s="32"/>
      <c r="W233" s="32"/>
      <c r="X233">
        <f t="shared" si="7"/>
        <v>2</v>
      </c>
      <c r="BK233" s="32">
        <v>231</v>
      </c>
      <c r="BL233">
        <v>10</v>
      </c>
      <c r="BM233">
        <v>2</v>
      </c>
    </row>
    <row r="234" spans="1:65" x14ac:dyDescent="0.45">
      <c r="A234" s="33"/>
      <c r="B234" s="32">
        <v>4</v>
      </c>
      <c r="C234" s="32">
        <v>232</v>
      </c>
      <c r="D234" s="32">
        <v>60</v>
      </c>
      <c r="E234" s="32">
        <v>60</v>
      </c>
      <c r="F234" s="32">
        <v>60</v>
      </c>
      <c r="G234" s="32">
        <v>60</v>
      </c>
      <c r="H234" s="32"/>
      <c r="I234" s="32"/>
      <c r="J234" s="32"/>
      <c r="K234" s="32"/>
      <c r="L234" s="32"/>
      <c r="M234" s="39"/>
      <c r="N234" s="43">
        <f t="shared" si="6"/>
        <v>4</v>
      </c>
      <c r="O234" s="33"/>
      <c r="P234" s="32">
        <v>4</v>
      </c>
      <c r="Q234" s="32">
        <v>232</v>
      </c>
      <c r="R234" s="32">
        <v>120</v>
      </c>
      <c r="S234" s="32">
        <v>120</v>
      </c>
      <c r="T234" s="32"/>
      <c r="U234" s="32"/>
      <c r="V234" s="32"/>
      <c r="W234" s="32"/>
      <c r="X234">
        <f t="shared" si="7"/>
        <v>2</v>
      </c>
      <c r="BK234" s="32">
        <v>232</v>
      </c>
      <c r="BL234">
        <v>10</v>
      </c>
      <c r="BM234">
        <v>2</v>
      </c>
    </row>
    <row r="235" spans="1:65" x14ac:dyDescent="0.45">
      <c r="A235" s="33"/>
      <c r="B235" s="32">
        <v>5</v>
      </c>
      <c r="C235" s="32">
        <v>233</v>
      </c>
      <c r="D235" s="32">
        <v>60</v>
      </c>
      <c r="E235" s="32">
        <v>60</v>
      </c>
      <c r="F235" s="32">
        <v>60</v>
      </c>
      <c r="G235" s="32">
        <v>60</v>
      </c>
      <c r="H235" s="32"/>
      <c r="I235" s="32"/>
      <c r="J235" s="32"/>
      <c r="K235" s="32"/>
      <c r="L235" s="32"/>
      <c r="M235" s="39"/>
      <c r="N235" s="43">
        <f t="shared" si="6"/>
        <v>4</v>
      </c>
      <c r="O235" s="33"/>
      <c r="P235" s="32">
        <v>5</v>
      </c>
      <c r="Q235" s="32">
        <v>233</v>
      </c>
      <c r="R235" s="32">
        <v>120</v>
      </c>
      <c r="S235" s="32">
        <v>120</v>
      </c>
      <c r="T235" s="32"/>
      <c r="U235" s="32"/>
      <c r="V235" s="32"/>
      <c r="W235" s="32"/>
      <c r="X235">
        <f t="shared" si="7"/>
        <v>2</v>
      </c>
      <c r="BK235" s="32">
        <v>233</v>
      </c>
      <c r="BL235">
        <v>10</v>
      </c>
      <c r="BM235">
        <v>2</v>
      </c>
    </row>
    <row r="236" spans="1:65" x14ac:dyDescent="0.45">
      <c r="A236" s="33"/>
      <c r="B236" s="32">
        <v>6</v>
      </c>
      <c r="C236" s="32">
        <v>234</v>
      </c>
      <c r="D236" s="32">
        <v>60</v>
      </c>
      <c r="E236" s="32">
        <v>60</v>
      </c>
      <c r="F236" s="32">
        <v>60</v>
      </c>
      <c r="G236" s="32">
        <v>60</v>
      </c>
      <c r="H236" s="32"/>
      <c r="I236" s="32"/>
      <c r="J236" s="32"/>
      <c r="K236" s="32"/>
      <c r="L236" s="32"/>
      <c r="M236" s="39"/>
      <c r="N236" s="43">
        <f t="shared" si="6"/>
        <v>4</v>
      </c>
      <c r="O236" s="33"/>
      <c r="P236" s="32">
        <v>6</v>
      </c>
      <c r="Q236" s="32">
        <v>234</v>
      </c>
      <c r="R236" s="32">
        <v>120</v>
      </c>
      <c r="S236" s="32">
        <v>120</v>
      </c>
      <c r="T236" s="32"/>
      <c r="U236" s="32"/>
      <c r="V236" s="32"/>
      <c r="W236" s="32"/>
      <c r="X236">
        <f t="shared" si="7"/>
        <v>2</v>
      </c>
      <c r="BK236" s="32">
        <v>234</v>
      </c>
      <c r="BL236">
        <v>10</v>
      </c>
      <c r="BM236">
        <v>2</v>
      </c>
    </row>
    <row r="237" spans="1:65" x14ac:dyDescent="0.45">
      <c r="A237" s="33"/>
      <c r="B237" s="32">
        <v>7</v>
      </c>
      <c r="C237" s="32">
        <v>235</v>
      </c>
      <c r="D237" s="32">
        <v>60</v>
      </c>
      <c r="E237" s="32">
        <v>60</v>
      </c>
      <c r="F237" s="32">
        <v>60</v>
      </c>
      <c r="G237" s="32">
        <v>60</v>
      </c>
      <c r="H237" s="32"/>
      <c r="I237" s="32"/>
      <c r="J237" s="32"/>
      <c r="K237" s="32"/>
      <c r="L237" s="32"/>
      <c r="M237" s="39"/>
      <c r="N237" s="43">
        <f t="shared" si="6"/>
        <v>4</v>
      </c>
      <c r="O237" s="33"/>
      <c r="P237" s="32">
        <v>7</v>
      </c>
      <c r="Q237" s="32">
        <v>235</v>
      </c>
      <c r="R237" s="32">
        <v>120</v>
      </c>
      <c r="S237" s="32">
        <v>120</v>
      </c>
      <c r="T237" s="32"/>
      <c r="U237" s="32"/>
      <c r="V237" s="32"/>
      <c r="W237" s="32"/>
      <c r="X237">
        <f t="shared" si="7"/>
        <v>2</v>
      </c>
      <c r="BK237" s="32">
        <v>235</v>
      </c>
      <c r="BL237">
        <v>10</v>
      </c>
      <c r="BM237">
        <v>2</v>
      </c>
    </row>
    <row r="238" spans="1:65" x14ac:dyDescent="0.45">
      <c r="A238" s="33"/>
      <c r="B238" s="32">
        <v>8</v>
      </c>
      <c r="C238" s="32">
        <v>236</v>
      </c>
      <c r="D238" s="32">
        <v>60</v>
      </c>
      <c r="E238" s="32">
        <v>60</v>
      </c>
      <c r="F238" s="32">
        <v>60</v>
      </c>
      <c r="G238" s="32">
        <v>60</v>
      </c>
      <c r="H238" s="32"/>
      <c r="I238" s="32"/>
      <c r="J238" s="32"/>
      <c r="K238" s="32"/>
      <c r="L238" s="32"/>
      <c r="M238" s="39"/>
      <c r="N238" s="43">
        <f t="shared" si="6"/>
        <v>4</v>
      </c>
      <c r="O238" s="33"/>
      <c r="P238" s="32">
        <v>8</v>
      </c>
      <c r="Q238" s="32">
        <v>236</v>
      </c>
      <c r="R238" s="32">
        <v>120</v>
      </c>
      <c r="S238" s="32">
        <v>120</v>
      </c>
      <c r="T238" s="32"/>
      <c r="U238" s="32"/>
      <c r="V238" s="32"/>
      <c r="W238" s="32"/>
      <c r="X238">
        <f t="shared" si="7"/>
        <v>2</v>
      </c>
      <c r="BK238" s="32">
        <v>236</v>
      </c>
      <c r="BL238">
        <v>10</v>
      </c>
      <c r="BM238">
        <v>2</v>
      </c>
    </row>
    <row r="239" spans="1:65" x14ac:dyDescent="0.45">
      <c r="A239" s="33"/>
      <c r="B239" s="32">
        <v>9</v>
      </c>
      <c r="C239" s="32">
        <v>237</v>
      </c>
      <c r="D239" s="32">
        <v>60</v>
      </c>
      <c r="E239" s="32">
        <v>60</v>
      </c>
      <c r="F239" s="32">
        <v>60</v>
      </c>
      <c r="G239" s="32">
        <v>60</v>
      </c>
      <c r="H239" s="32"/>
      <c r="I239" s="32"/>
      <c r="J239" s="32"/>
      <c r="K239" s="32"/>
      <c r="L239" s="32"/>
      <c r="M239" s="39"/>
      <c r="N239" s="43">
        <f t="shared" si="6"/>
        <v>4</v>
      </c>
      <c r="O239" s="33"/>
      <c r="P239" s="32">
        <v>9</v>
      </c>
      <c r="Q239" s="32">
        <v>237</v>
      </c>
      <c r="R239" s="32">
        <v>120</v>
      </c>
      <c r="S239" s="32">
        <v>120</v>
      </c>
      <c r="T239" s="32"/>
      <c r="U239" s="32"/>
      <c r="V239" s="32"/>
      <c r="W239" s="32"/>
      <c r="X239">
        <f t="shared" si="7"/>
        <v>2</v>
      </c>
      <c r="BK239" s="32">
        <v>237</v>
      </c>
      <c r="BL239">
        <v>10</v>
      </c>
      <c r="BM239">
        <v>2</v>
      </c>
    </row>
    <row r="240" spans="1:65" x14ac:dyDescent="0.45">
      <c r="A240" s="33"/>
      <c r="B240" s="32">
        <v>10</v>
      </c>
      <c r="C240" s="32">
        <v>238</v>
      </c>
      <c r="D240" s="32">
        <v>60</v>
      </c>
      <c r="E240" s="32">
        <v>60</v>
      </c>
      <c r="F240" s="32">
        <v>60</v>
      </c>
      <c r="G240" s="32">
        <v>60</v>
      </c>
      <c r="H240" s="32"/>
      <c r="I240" s="32"/>
      <c r="J240" s="32"/>
      <c r="K240" s="32"/>
      <c r="L240" s="32"/>
      <c r="M240" s="39"/>
      <c r="N240" s="43">
        <f t="shared" si="6"/>
        <v>4</v>
      </c>
      <c r="O240" s="33"/>
      <c r="P240" s="32">
        <v>10</v>
      </c>
      <c r="Q240" s="32">
        <v>238</v>
      </c>
      <c r="R240" s="32">
        <v>120</v>
      </c>
      <c r="S240" s="32">
        <v>120</v>
      </c>
      <c r="T240" s="32"/>
      <c r="U240" s="32"/>
      <c r="V240" s="32"/>
      <c r="W240" s="32"/>
      <c r="X240">
        <f t="shared" si="7"/>
        <v>2</v>
      </c>
      <c r="BK240" s="32">
        <v>238</v>
      </c>
      <c r="BL240">
        <v>10</v>
      </c>
      <c r="BM240">
        <v>2</v>
      </c>
    </row>
    <row r="241" spans="1:65" x14ac:dyDescent="0.45">
      <c r="A241" s="33"/>
      <c r="B241" s="32">
        <v>11</v>
      </c>
      <c r="C241" s="32">
        <v>239</v>
      </c>
      <c r="D241" s="32">
        <v>60</v>
      </c>
      <c r="E241" s="32">
        <v>60</v>
      </c>
      <c r="F241" s="32">
        <v>60</v>
      </c>
      <c r="G241" s="32">
        <v>60</v>
      </c>
      <c r="H241" s="32"/>
      <c r="I241" s="32"/>
      <c r="J241" s="32"/>
      <c r="K241" s="32"/>
      <c r="L241" s="32"/>
      <c r="M241" s="39"/>
      <c r="N241" s="43">
        <f t="shared" si="6"/>
        <v>4</v>
      </c>
      <c r="O241" s="33"/>
      <c r="P241" s="32">
        <v>11</v>
      </c>
      <c r="Q241" s="32">
        <v>239</v>
      </c>
      <c r="R241" s="32">
        <v>120</v>
      </c>
      <c r="S241" s="32">
        <v>120</v>
      </c>
      <c r="T241" s="32"/>
      <c r="U241" s="32"/>
      <c r="V241" s="32"/>
      <c r="W241" s="32"/>
      <c r="X241">
        <f t="shared" si="7"/>
        <v>2</v>
      </c>
      <c r="BK241" s="32">
        <v>239</v>
      </c>
      <c r="BL241">
        <v>10</v>
      </c>
      <c r="BM241">
        <v>2</v>
      </c>
    </row>
    <row r="242" spans="1:65" x14ac:dyDescent="0.45">
      <c r="A242" s="33">
        <v>20</v>
      </c>
      <c r="B242" s="32"/>
      <c r="C242" s="32">
        <v>240</v>
      </c>
      <c r="D242" s="32">
        <v>60</v>
      </c>
      <c r="E242" s="32">
        <v>60</v>
      </c>
      <c r="F242" s="32">
        <v>60</v>
      </c>
      <c r="G242" s="32">
        <v>60</v>
      </c>
      <c r="H242" s="32"/>
      <c r="I242" s="32"/>
      <c r="J242" s="32"/>
      <c r="K242" s="32"/>
      <c r="L242" s="32"/>
      <c r="M242" s="39"/>
      <c r="N242" s="43">
        <f t="shared" si="6"/>
        <v>4</v>
      </c>
      <c r="O242" s="33">
        <v>20</v>
      </c>
      <c r="P242" s="32"/>
      <c r="Q242" s="32">
        <v>240</v>
      </c>
      <c r="R242" s="32">
        <v>120</v>
      </c>
      <c r="S242" s="32">
        <v>120</v>
      </c>
      <c r="T242" s="32"/>
      <c r="U242" s="32"/>
      <c r="V242" s="32"/>
      <c r="W242" s="32"/>
      <c r="X242">
        <f t="shared" si="7"/>
        <v>2</v>
      </c>
      <c r="BK242" s="32">
        <v>240</v>
      </c>
      <c r="BL242">
        <v>10</v>
      </c>
      <c r="BM242">
        <v>2</v>
      </c>
    </row>
    <row r="243" spans="1:65" x14ac:dyDescent="0.45">
      <c r="A243" s="33"/>
      <c r="B243" s="32">
        <v>1</v>
      </c>
      <c r="C243" s="32">
        <v>241</v>
      </c>
      <c r="D243" s="32">
        <v>60</v>
      </c>
      <c r="E243" s="32">
        <v>48</v>
      </c>
      <c r="F243" s="32">
        <v>48</v>
      </c>
      <c r="G243" s="32">
        <v>48</v>
      </c>
      <c r="H243" s="32">
        <v>48</v>
      </c>
      <c r="I243" s="32"/>
      <c r="J243" s="32"/>
      <c r="K243" s="32"/>
      <c r="L243" s="32"/>
      <c r="M243" s="39"/>
      <c r="N243" s="43">
        <f t="shared" si="6"/>
        <v>5</v>
      </c>
      <c r="O243" s="33"/>
      <c r="P243" s="32">
        <v>1</v>
      </c>
      <c r="Q243" s="32">
        <v>241</v>
      </c>
      <c r="R243" s="32">
        <v>96</v>
      </c>
      <c r="S243" s="32">
        <v>96</v>
      </c>
      <c r="T243" s="32">
        <v>60</v>
      </c>
      <c r="U243" s="32"/>
      <c r="V243" s="32"/>
      <c r="W243" s="32"/>
      <c r="X243">
        <f t="shared" si="7"/>
        <v>3</v>
      </c>
      <c r="BK243" s="32">
        <v>241</v>
      </c>
      <c r="BL243">
        <v>15</v>
      </c>
      <c r="BM243">
        <v>2.5</v>
      </c>
    </row>
    <row r="244" spans="1:65" x14ac:dyDescent="0.45">
      <c r="A244" s="33"/>
      <c r="B244" s="32">
        <v>2</v>
      </c>
      <c r="C244" s="32">
        <v>242</v>
      </c>
      <c r="D244" s="32">
        <v>60</v>
      </c>
      <c r="E244" s="32">
        <v>48</v>
      </c>
      <c r="F244" s="32">
        <v>48</v>
      </c>
      <c r="G244" s="32">
        <v>48</v>
      </c>
      <c r="H244" s="32">
        <v>48</v>
      </c>
      <c r="I244" s="32"/>
      <c r="J244" s="32"/>
      <c r="K244" s="32"/>
      <c r="L244" s="32"/>
      <c r="M244" s="39"/>
      <c r="N244" s="43">
        <f t="shared" si="6"/>
        <v>5</v>
      </c>
      <c r="O244" s="33"/>
      <c r="P244" s="32">
        <v>2</v>
      </c>
      <c r="Q244" s="32">
        <v>242</v>
      </c>
      <c r="R244" s="32">
        <v>96</v>
      </c>
      <c r="S244" s="32">
        <v>96</v>
      </c>
      <c r="T244" s="32">
        <v>60</v>
      </c>
      <c r="U244" s="32"/>
      <c r="V244" s="32"/>
      <c r="W244" s="32"/>
      <c r="X244">
        <f t="shared" si="7"/>
        <v>3</v>
      </c>
      <c r="BK244" s="32">
        <v>242</v>
      </c>
      <c r="BL244">
        <v>15</v>
      </c>
      <c r="BM244">
        <v>2.5</v>
      </c>
    </row>
    <row r="245" spans="1:65" x14ac:dyDescent="0.45">
      <c r="A245" s="33"/>
      <c r="B245" s="32">
        <v>3</v>
      </c>
      <c r="C245" s="32">
        <v>243</v>
      </c>
      <c r="D245" s="32">
        <v>60</v>
      </c>
      <c r="E245" s="32">
        <v>48</v>
      </c>
      <c r="F245" s="32">
        <v>48</v>
      </c>
      <c r="G245" s="32">
        <v>48</v>
      </c>
      <c r="H245" s="32">
        <v>48</v>
      </c>
      <c r="I245" s="32"/>
      <c r="J245" s="32"/>
      <c r="K245" s="32"/>
      <c r="L245" s="32"/>
      <c r="M245" s="39"/>
      <c r="N245" s="43">
        <f t="shared" si="6"/>
        <v>5</v>
      </c>
      <c r="O245" s="33"/>
      <c r="P245" s="32">
        <v>3</v>
      </c>
      <c r="Q245" s="32">
        <v>243</v>
      </c>
      <c r="R245" s="32">
        <v>96</v>
      </c>
      <c r="S245" s="32">
        <v>96</v>
      </c>
      <c r="T245" s="32">
        <v>60</v>
      </c>
      <c r="U245" s="32"/>
      <c r="V245" s="32"/>
      <c r="W245" s="32"/>
      <c r="X245">
        <f t="shared" si="7"/>
        <v>3</v>
      </c>
      <c r="BK245" s="32">
        <v>243</v>
      </c>
      <c r="BL245">
        <v>15</v>
      </c>
      <c r="BM245">
        <v>2.5</v>
      </c>
    </row>
    <row r="246" spans="1:65" x14ac:dyDescent="0.45">
      <c r="A246" s="33"/>
      <c r="B246" s="32">
        <v>4</v>
      </c>
      <c r="C246" s="32">
        <v>244</v>
      </c>
      <c r="D246" s="32">
        <v>60</v>
      </c>
      <c r="E246" s="32">
        <v>48</v>
      </c>
      <c r="F246" s="32">
        <v>48</v>
      </c>
      <c r="G246" s="32">
        <v>48</v>
      </c>
      <c r="H246" s="32">
        <v>48</v>
      </c>
      <c r="I246" s="32"/>
      <c r="J246" s="32"/>
      <c r="K246" s="32"/>
      <c r="L246" s="32"/>
      <c r="M246" s="39"/>
      <c r="N246" s="43">
        <f t="shared" si="6"/>
        <v>5</v>
      </c>
      <c r="O246" s="33"/>
      <c r="P246" s="32">
        <v>4</v>
      </c>
      <c r="Q246" s="32">
        <v>244</v>
      </c>
      <c r="R246" s="32">
        <v>96</v>
      </c>
      <c r="S246" s="32">
        <v>96</v>
      </c>
      <c r="T246" s="32">
        <v>60</v>
      </c>
      <c r="U246" s="32"/>
      <c r="V246" s="32"/>
      <c r="W246" s="32"/>
      <c r="X246">
        <f t="shared" si="7"/>
        <v>3</v>
      </c>
      <c r="BK246" s="32">
        <v>244</v>
      </c>
      <c r="BL246">
        <v>15</v>
      </c>
      <c r="BM246">
        <v>2.5</v>
      </c>
    </row>
    <row r="247" spans="1:65" x14ac:dyDescent="0.45">
      <c r="A247" s="33"/>
      <c r="B247" s="32">
        <v>5</v>
      </c>
      <c r="C247" s="32">
        <v>245</v>
      </c>
      <c r="D247" s="32">
        <v>60</v>
      </c>
      <c r="E247" s="32">
        <v>48</v>
      </c>
      <c r="F247" s="32">
        <v>48</v>
      </c>
      <c r="G247" s="32">
        <v>48</v>
      </c>
      <c r="H247" s="32">
        <v>48</v>
      </c>
      <c r="I247" s="32"/>
      <c r="J247" s="32"/>
      <c r="K247" s="32"/>
      <c r="L247" s="32"/>
      <c r="M247" s="39"/>
      <c r="N247" s="43">
        <f t="shared" si="6"/>
        <v>5</v>
      </c>
      <c r="O247" s="33"/>
      <c r="P247" s="32">
        <v>5</v>
      </c>
      <c r="Q247" s="32">
        <v>245</v>
      </c>
      <c r="R247" s="32">
        <v>96</v>
      </c>
      <c r="S247" s="32">
        <v>96</v>
      </c>
      <c r="T247" s="32">
        <v>60</v>
      </c>
      <c r="U247" s="32"/>
      <c r="V247" s="32"/>
      <c r="W247" s="32"/>
      <c r="X247">
        <f t="shared" si="7"/>
        <v>3</v>
      </c>
      <c r="BK247" s="32">
        <v>245</v>
      </c>
      <c r="BL247">
        <v>15</v>
      </c>
      <c r="BM247">
        <v>2.5</v>
      </c>
    </row>
    <row r="248" spans="1:65" x14ac:dyDescent="0.45">
      <c r="A248" s="33"/>
      <c r="B248" s="32">
        <v>6</v>
      </c>
      <c r="C248" s="32">
        <v>246</v>
      </c>
      <c r="D248" s="32">
        <v>60</v>
      </c>
      <c r="E248" s="32">
        <v>48</v>
      </c>
      <c r="F248" s="32">
        <v>48</v>
      </c>
      <c r="G248" s="32">
        <v>48</v>
      </c>
      <c r="H248" s="32">
        <v>48</v>
      </c>
      <c r="I248" s="32"/>
      <c r="J248" s="32"/>
      <c r="K248" s="32"/>
      <c r="L248" s="32"/>
      <c r="M248" s="39"/>
      <c r="N248" s="43">
        <f t="shared" si="6"/>
        <v>5</v>
      </c>
      <c r="O248" s="33"/>
      <c r="P248" s="32">
        <v>6</v>
      </c>
      <c r="Q248" s="32">
        <v>246</v>
      </c>
      <c r="R248" s="32">
        <v>96</v>
      </c>
      <c r="S248" s="32">
        <v>96</v>
      </c>
      <c r="T248" s="32">
        <v>60</v>
      </c>
      <c r="U248" s="32"/>
      <c r="V248" s="32"/>
      <c r="W248" s="32"/>
      <c r="X248">
        <f t="shared" si="7"/>
        <v>3</v>
      </c>
      <c r="BK248" s="32">
        <v>246</v>
      </c>
      <c r="BL248">
        <v>15</v>
      </c>
      <c r="BM248">
        <v>2.5</v>
      </c>
    </row>
    <row r="249" spans="1:65" x14ac:dyDescent="0.45">
      <c r="A249" s="33"/>
      <c r="B249" s="32">
        <v>7</v>
      </c>
      <c r="C249" s="32">
        <v>247</v>
      </c>
      <c r="D249" s="32">
        <v>60</v>
      </c>
      <c r="E249" s="32">
        <v>48</v>
      </c>
      <c r="F249" s="32">
        <v>48</v>
      </c>
      <c r="G249" s="32">
        <v>48</v>
      </c>
      <c r="H249" s="32">
        <v>48</v>
      </c>
      <c r="I249" s="32"/>
      <c r="J249" s="32"/>
      <c r="K249" s="32"/>
      <c r="L249" s="32"/>
      <c r="M249" s="39"/>
      <c r="N249" s="43">
        <f t="shared" si="6"/>
        <v>5</v>
      </c>
      <c r="O249" s="33"/>
      <c r="P249" s="32">
        <v>7</v>
      </c>
      <c r="Q249" s="32">
        <v>247</v>
      </c>
      <c r="R249" s="32">
        <v>96</v>
      </c>
      <c r="S249" s="32">
        <v>96</v>
      </c>
      <c r="T249" s="32">
        <v>60</v>
      </c>
      <c r="U249" s="32"/>
      <c r="V249" s="32"/>
      <c r="W249" s="32"/>
      <c r="X249">
        <f t="shared" si="7"/>
        <v>3</v>
      </c>
      <c r="BK249" s="32">
        <v>247</v>
      </c>
      <c r="BL249">
        <v>15</v>
      </c>
      <c r="BM249">
        <v>2.5</v>
      </c>
    </row>
    <row r="250" spans="1:65" x14ac:dyDescent="0.45">
      <c r="A250" s="33"/>
      <c r="B250" s="32">
        <v>8</v>
      </c>
      <c r="C250" s="32">
        <v>248</v>
      </c>
      <c r="D250" s="32">
        <v>60</v>
      </c>
      <c r="E250" s="32">
        <v>48</v>
      </c>
      <c r="F250" s="32">
        <v>48</v>
      </c>
      <c r="G250" s="32">
        <v>48</v>
      </c>
      <c r="H250" s="32">
        <v>48</v>
      </c>
      <c r="I250" s="32"/>
      <c r="J250" s="32"/>
      <c r="K250" s="32"/>
      <c r="L250" s="32"/>
      <c r="M250" s="39"/>
      <c r="N250" s="43">
        <f t="shared" si="6"/>
        <v>5</v>
      </c>
      <c r="O250" s="33"/>
      <c r="P250" s="32">
        <v>8</v>
      </c>
      <c r="Q250" s="32">
        <v>248</v>
      </c>
      <c r="R250" s="32">
        <v>96</v>
      </c>
      <c r="S250" s="32">
        <v>96</v>
      </c>
      <c r="T250" s="32">
        <v>60</v>
      </c>
      <c r="U250" s="32"/>
      <c r="V250" s="32"/>
      <c r="W250" s="32"/>
      <c r="X250">
        <f t="shared" si="7"/>
        <v>3</v>
      </c>
      <c r="BK250" s="32">
        <v>248</v>
      </c>
      <c r="BL250">
        <v>15</v>
      </c>
      <c r="BM250">
        <v>2.5</v>
      </c>
    </row>
    <row r="251" spans="1:65" x14ac:dyDescent="0.45">
      <c r="A251" s="33"/>
      <c r="B251" s="32">
        <v>9</v>
      </c>
      <c r="C251" s="32">
        <v>249</v>
      </c>
      <c r="D251" s="32">
        <v>60</v>
      </c>
      <c r="E251" s="32">
        <v>48</v>
      </c>
      <c r="F251" s="32">
        <v>48</v>
      </c>
      <c r="G251" s="32">
        <v>48</v>
      </c>
      <c r="H251" s="32">
        <v>48</v>
      </c>
      <c r="I251" s="32"/>
      <c r="J251" s="32"/>
      <c r="K251" s="32"/>
      <c r="L251" s="32"/>
      <c r="M251" s="39"/>
      <c r="N251" s="43">
        <f t="shared" si="6"/>
        <v>5</v>
      </c>
      <c r="O251" s="33"/>
      <c r="P251" s="32">
        <v>9</v>
      </c>
      <c r="Q251" s="32">
        <v>249</v>
      </c>
      <c r="R251" s="32">
        <v>96</v>
      </c>
      <c r="S251" s="32">
        <v>96</v>
      </c>
      <c r="T251" s="32">
        <v>60</v>
      </c>
      <c r="U251" s="32"/>
      <c r="V251" s="32"/>
      <c r="W251" s="32"/>
      <c r="X251">
        <f t="shared" si="7"/>
        <v>3</v>
      </c>
      <c r="BK251" s="32">
        <v>249</v>
      </c>
      <c r="BL251">
        <v>15</v>
      </c>
      <c r="BM251">
        <v>2.5</v>
      </c>
    </row>
    <row r="252" spans="1:65" x14ac:dyDescent="0.45">
      <c r="A252" s="33"/>
      <c r="B252" s="32">
        <v>10</v>
      </c>
      <c r="C252" s="32">
        <v>250</v>
      </c>
      <c r="D252" s="32">
        <v>60</v>
      </c>
      <c r="E252" s="32">
        <v>48</v>
      </c>
      <c r="F252" s="32">
        <v>48</v>
      </c>
      <c r="G252" s="32">
        <v>48</v>
      </c>
      <c r="H252" s="32">
        <v>48</v>
      </c>
      <c r="I252" s="32"/>
      <c r="J252" s="32"/>
      <c r="K252" s="32"/>
      <c r="L252" s="32"/>
      <c r="M252" s="39"/>
      <c r="N252" s="43">
        <f t="shared" si="6"/>
        <v>5</v>
      </c>
      <c r="O252" s="33"/>
      <c r="P252" s="32">
        <v>10</v>
      </c>
      <c r="Q252" s="32">
        <v>250</v>
      </c>
      <c r="R252" s="32">
        <v>96</v>
      </c>
      <c r="S252" s="32">
        <v>96</v>
      </c>
      <c r="T252" s="32">
        <v>60</v>
      </c>
      <c r="U252" s="32"/>
      <c r="V252" s="32"/>
      <c r="W252" s="32"/>
      <c r="X252">
        <f t="shared" si="7"/>
        <v>3</v>
      </c>
      <c r="BK252" s="32">
        <v>250</v>
      </c>
      <c r="BL252">
        <v>15</v>
      </c>
      <c r="BM252">
        <v>2.5</v>
      </c>
    </row>
    <row r="253" spans="1:65" x14ac:dyDescent="0.45">
      <c r="A253" s="33"/>
      <c r="B253" s="32">
        <v>11</v>
      </c>
      <c r="C253" s="32">
        <v>251</v>
      </c>
      <c r="D253" s="32">
        <v>60</v>
      </c>
      <c r="E253" s="32">
        <v>48</v>
      </c>
      <c r="F253" s="32">
        <v>48</v>
      </c>
      <c r="G253" s="32">
        <v>48</v>
      </c>
      <c r="H253" s="32">
        <v>48</v>
      </c>
      <c r="I253" s="32"/>
      <c r="J253" s="32"/>
      <c r="K253" s="32"/>
      <c r="L253" s="32"/>
      <c r="M253" s="39"/>
      <c r="N253" s="43">
        <f t="shared" si="6"/>
        <v>5</v>
      </c>
      <c r="O253" s="33"/>
      <c r="P253" s="32">
        <v>11</v>
      </c>
      <c r="Q253" s="32">
        <v>251</v>
      </c>
      <c r="R253" s="32">
        <v>96</v>
      </c>
      <c r="S253" s="32">
        <v>96</v>
      </c>
      <c r="T253" s="32">
        <v>60</v>
      </c>
      <c r="U253" s="32"/>
      <c r="V253" s="32"/>
      <c r="W253" s="32"/>
      <c r="X253">
        <f t="shared" si="7"/>
        <v>3</v>
      </c>
      <c r="BK253" s="32">
        <v>251</v>
      </c>
      <c r="BL253">
        <v>15</v>
      </c>
      <c r="BM253">
        <v>2.5</v>
      </c>
    </row>
    <row r="254" spans="1:65" x14ac:dyDescent="0.45">
      <c r="A254" s="33">
        <v>21</v>
      </c>
      <c r="B254" s="32"/>
      <c r="C254" s="32">
        <v>252</v>
      </c>
      <c r="D254" s="32">
        <v>60</v>
      </c>
      <c r="E254" s="32">
        <v>48</v>
      </c>
      <c r="F254" s="32">
        <v>48</v>
      </c>
      <c r="G254" s="32">
        <v>48</v>
      </c>
      <c r="H254" s="32">
        <v>48</v>
      </c>
      <c r="I254" s="32"/>
      <c r="J254" s="32"/>
      <c r="K254" s="32"/>
      <c r="L254" s="32"/>
      <c r="M254" s="39"/>
      <c r="N254" s="43">
        <f t="shared" si="6"/>
        <v>5</v>
      </c>
      <c r="O254" s="33">
        <v>21</v>
      </c>
      <c r="P254" s="32"/>
      <c r="Q254" s="32">
        <v>252</v>
      </c>
      <c r="R254" s="32">
        <v>96</v>
      </c>
      <c r="S254" s="32">
        <v>96</v>
      </c>
      <c r="T254" s="32">
        <v>60</v>
      </c>
      <c r="U254" s="32"/>
      <c r="V254" s="32"/>
      <c r="W254" s="32"/>
      <c r="X254">
        <f t="shared" si="7"/>
        <v>3</v>
      </c>
      <c r="BK254" s="32">
        <v>252</v>
      </c>
      <c r="BL254">
        <v>15</v>
      </c>
      <c r="BM254">
        <v>2.5</v>
      </c>
    </row>
    <row r="255" spans="1:65" x14ac:dyDescent="0.45">
      <c r="A255" s="33"/>
      <c r="B255" s="32">
        <v>1</v>
      </c>
      <c r="C255" s="32">
        <v>253</v>
      </c>
      <c r="D255" s="32">
        <v>60</v>
      </c>
      <c r="E255" s="32">
        <v>60</v>
      </c>
      <c r="F255" s="32">
        <v>48</v>
      </c>
      <c r="G255" s="32">
        <v>48</v>
      </c>
      <c r="H255" s="32">
        <v>48</v>
      </c>
      <c r="I255" s="32"/>
      <c r="J255" s="32"/>
      <c r="K255" s="32"/>
      <c r="L255" s="32"/>
      <c r="M255" s="39"/>
      <c r="N255" s="43">
        <f t="shared" si="6"/>
        <v>5</v>
      </c>
      <c r="O255" s="33"/>
      <c r="P255" s="32">
        <v>1</v>
      </c>
      <c r="Q255" s="32">
        <v>253</v>
      </c>
      <c r="R255" s="32">
        <v>120</v>
      </c>
      <c r="S255" s="32">
        <v>96</v>
      </c>
      <c r="T255" s="32">
        <v>48</v>
      </c>
      <c r="U255" s="32"/>
      <c r="V255" s="32"/>
      <c r="W255" s="32"/>
      <c r="X255">
        <f t="shared" si="7"/>
        <v>3</v>
      </c>
      <c r="BK255" s="32">
        <v>253</v>
      </c>
      <c r="BL255">
        <v>15</v>
      </c>
      <c r="BM255">
        <v>2.5</v>
      </c>
    </row>
    <row r="256" spans="1:65" x14ac:dyDescent="0.45">
      <c r="A256" s="33"/>
      <c r="B256" s="32">
        <v>2</v>
      </c>
      <c r="C256" s="32">
        <v>254</v>
      </c>
      <c r="D256" s="32">
        <v>60</v>
      </c>
      <c r="E256" s="32">
        <v>60</v>
      </c>
      <c r="F256" s="32">
        <v>48</v>
      </c>
      <c r="G256" s="32">
        <v>48</v>
      </c>
      <c r="H256" s="32">
        <v>48</v>
      </c>
      <c r="I256" s="32"/>
      <c r="J256" s="32"/>
      <c r="K256" s="32"/>
      <c r="L256" s="32"/>
      <c r="M256" s="39"/>
      <c r="N256" s="43">
        <f t="shared" si="6"/>
        <v>5</v>
      </c>
      <c r="O256" s="33"/>
      <c r="P256" s="32">
        <v>2</v>
      </c>
      <c r="Q256" s="32">
        <v>254</v>
      </c>
      <c r="R256" s="32">
        <v>120</v>
      </c>
      <c r="S256" s="32">
        <v>96</v>
      </c>
      <c r="T256" s="32">
        <v>48</v>
      </c>
      <c r="U256" s="32"/>
      <c r="V256" s="32"/>
      <c r="W256" s="32"/>
      <c r="X256">
        <f t="shared" si="7"/>
        <v>3</v>
      </c>
      <c r="BK256" s="32">
        <v>254</v>
      </c>
      <c r="BL256">
        <v>15</v>
      </c>
      <c r="BM256">
        <v>2.5</v>
      </c>
    </row>
    <row r="257" spans="1:65" x14ac:dyDescent="0.45">
      <c r="A257" s="33"/>
      <c r="B257" s="32">
        <v>3</v>
      </c>
      <c r="C257" s="32">
        <v>255</v>
      </c>
      <c r="D257" s="32">
        <v>60</v>
      </c>
      <c r="E257" s="32">
        <v>60</v>
      </c>
      <c r="F257" s="32">
        <v>48</v>
      </c>
      <c r="G257" s="32">
        <v>48</v>
      </c>
      <c r="H257" s="32">
        <v>48</v>
      </c>
      <c r="I257" s="32"/>
      <c r="J257" s="32"/>
      <c r="K257" s="32"/>
      <c r="L257" s="32"/>
      <c r="M257" s="39"/>
      <c r="N257" s="43">
        <f t="shared" si="6"/>
        <v>5</v>
      </c>
      <c r="O257" s="33"/>
      <c r="P257" s="32">
        <v>3</v>
      </c>
      <c r="Q257" s="32">
        <v>255</v>
      </c>
      <c r="R257" s="32">
        <v>120</v>
      </c>
      <c r="S257" s="32">
        <v>96</v>
      </c>
      <c r="T257" s="32">
        <v>48</v>
      </c>
      <c r="U257" s="32"/>
      <c r="V257" s="32"/>
      <c r="W257" s="32"/>
      <c r="X257">
        <f t="shared" si="7"/>
        <v>3</v>
      </c>
      <c r="BK257" s="32">
        <v>255</v>
      </c>
      <c r="BL257">
        <v>15</v>
      </c>
      <c r="BM257">
        <v>2.5</v>
      </c>
    </row>
    <row r="258" spans="1:65" x14ac:dyDescent="0.45">
      <c r="A258" s="33"/>
      <c r="B258" s="32">
        <v>4</v>
      </c>
      <c r="C258" s="32">
        <v>256</v>
      </c>
      <c r="D258" s="32">
        <v>60</v>
      </c>
      <c r="E258" s="32">
        <v>60</v>
      </c>
      <c r="F258" s="32">
        <v>48</v>
      </c>
      <c r="G258" s="32">
        <v>48</v>
      </c>
      <c r="H258" s="32">
        <v>48</v>
      </c>
      <c r="I258" s="32"/>
      <c r="J258" s="32"/>
      <c r="K258" s="32"/>
      <c r="L258" s="32"/>
      <c r="M258" s="39"/>
      <c r="N258" s="43">
        <f t="shared" si="6"/>
        <v>5</v>
      </c>
      <c r="O258" s="33"/>
      <c r="P258" s="32">
        <v>4</v>
      </c>
      <c r="Q258" s="32">
        <v>256</v>
      </c>
      <c r="R258" s="32">
        <v>120</v>
      </c>
      <c r="S258" s="32">
        <v>96</v>
      </c>
      <c r="T258" s="32">
        <v>48</v>
      </c>
      <c r="U258" s="32"/>
      <c r="V258" s="32"/>
      <c r="W258" s="32"/>
      <c r="X258">
        <f t="shared" si="7"/>
        <v>3</v>
      </c>
      <c r="BK258" s="32">
        <v>256</v>
      </c>
      <c r="BL258">
        <v>15</v>
      </c>
      <c r="BM258">
        <v>2.5</v>
      </c>
    </row>
    <row r="259" spans="1:65" x14ac:dyDescent="0.45">
      <c r="A259" s="33"/>
      <c r="B259" s="32">
        <v>5</v>
      </c>
      <c r="C259" s="32">
        <v>257</v>
      </c>
      <c r="D259" s="32">
        <v>60</v>
      </c>
      <c r="E259" s="32">
        <v>60</v>
      </c>
      <c r="F259" s="32">
        <v>48</v>
      </c>
      <c r="G259" s="32">
        <v>48</v>
      </c>
      <c r="H259" s="32">
        <v>48</v>
      </c>
      <c r="I259" s="32"/>
      <c r="J259" s="32"/>
      <c r="K259" s="32"/>
      <c r="L259" s="32"/>
      <c r="M259" s="39"/>
      <c r="N259" s="43">
        <f t="shared" si="6"/>
        <v>5</v>
      </c>
      <c r="O259" s="33"/>
      <c r="P259" s="32">
        <v>5</v>
      </c>
      <c r="Q259" s="32">
        <v>257</v>
      </c>
      <c r="R259" s="32">
        <v>120</v>
      </c>
      <c r="S259" s="32">
        <v>96</v>
      </c>
      <c r="T259" s="32">
        <v>48</v>
      </c>
      <c r="U259" s="32"/>
      <c r="V259" s="32"/>
      <c r="W259" s="32"/>
      <c r="X259">
        <f t="shared" si="7"/>
        <v>3</v>
      </c>
      <c r="BK259" s="32">
        <v>257</v>
      </c>
      <c r="BL259">
        <v>15</v>
      </c>
      <c r="BM259">
        <v>2.5</v>
      </c>
    </row>
    <row r="260" spans="1:65" x14ac:dyDescent="0.45">
      <c r="A260" s="33"/>
      <c r="B260" s="32">
        <v>6</v>
      </c>
      <c r="C260" s="32">
        <v>258</v>
      </c>
      <c r="D260" s="32">
        <v>60</v>
      </c>
      <c r="E260" s="32">
        <v>60</v>
      </c>
      <c r="F260" s="32">
        <v>48</v>
      </c>
      <c r="G260" s="32">
        <v>48</v>
      </c>
      <c r="H260" s="32">
        <v>48</v>
      </c>
      <c r="I260" s="32"/>
      <c r="J260" s="32"/>
      <c r="K260" s="32"/>
      <c r="L260" s="32"/>
      <c r="M260" s="39"/>
      <c r="N260" s="43">
        <f t="shared" ref="N260:N323" si="8">COUNT(D260:M260)</f>
        <v>5</v>
      </c>
      <c r="O260" s="33"/>
      <c r="P260" s="32">
        <v>6</v>
      </c>
      <c r="Q260" s="32">
        <v>258</v>
      </c>
      <c r="R260" s="32">
        <v>120</v>
      </c>
      <c r="S260" s="32">
        <v>96</v>
      </c>
      <c r="T260" s="32">
        <v>48</v>
      </c>
      <c r="U260" s="32"/>
      <c r="V260" s="32"/>
      <c r="W260" s="32"/>
      <c r="X260">
        <f t="shared" ref="X260:X323" si="9">COUNT(R260:W260)</f>
        <v>3</v>
      </c>
      <c r="BK260" s="32">
        <v>258</v>
      </c>
      <c r="BL260">
        <v>15</v>
      </c>
      <c r="BM260">
        <v>2.5</v>
      </c>
    </row>
    <row r="261" spans="1:65" x14ac:dyDescent="0.45">
      <c r="A261" s="33"/>
      <c r="B261" s="32">
        <v>7</v>
      </c>
      <c r="C261" s="32">
        <v>259</v>
      </c>
      <c r="D261" s="32">
        <v>60</v>
      </c>
      <c r="E261" s="32">
        <v>60</v>
      </c>
      <c r="F261" s="32">
        <v>48</v>
      </c>
      <c r="G261" s="32">
        <v>48</v>
      </c>
      <c r="H261" s="32">
        <v>48</v>
      </c>
      <c r="I261" s="32"/>
      <c r="J261" s="32"/>
      <c r="K261" s="32"/>
      <c r="L261" s="32"/>
      <c r="M261" s="39"/>
      <c r="N261" s="43">
        <f t="shared" si="8"/>
        <v>5</v>
      </c>
      <c r="O261" s="33"/>
      <c r="P261" s="32">
        <v>7</v>
      </c>
      <c r="Q261" s="32">
        <v>259</v>
      </c>
      <c r="R261" s="32">
        <v>120</v>
      </c>
      <c r="S261" s="32">
        <v>96</v>
      </c>
      <c r="T261" s="32">
        <v>48</v>
      </c>
      <c r="U261" s="32"/>
      <c r="V261" s="32"/>
      <c r="W261" s="32"/>
      <c r="X261">
        <f t="shared" si="9"/>
        <v>3</v>
      </c>
      <c r="BK261" s="32">
        <v>259</v>
      </c>
      <c r="BL261">
        <v>15</v>
      </c>
      <c r="BM261">
        <v>2.5</v>
      </c>
    </row>
    <row r="262" spans="1:65" x14ac:dyDescent="0.45">
      <c r="A262" s="33"/>
      <c r="B262" s="32">
        <v>8</v>
      </c>
      <c r="C262" s="32">
        <v>260</v>
      </c>
      <c r="D262" s="32">
        <v>60</v>
      </c>
      <c r="E262" s="32">
        <v>60</v>
      </c>
      <c r="F262" s="32">
        <v>48</v>
      </c>
      <c r="G262" s="32">
        <v>48</v>
      </c>
      <c r="H262" s="32">
        <v>48</v>
      </c>
      <c r="I262" s="32"/>
      <c r="J262" s="32"/>
      <c r="K262" s="32"/>
      <c r="L262" s="32"/>
      <c r="M262" s="39"/>
      <c r="N262" s="43">
        <f t="shared" si="8"/>
        <v>5</v>
      </c>
      <c r="O262" s="33"/>
      <c r="P262" s="32">
        <v>8</v>
      </c>
      <c r="Q262" s="32">
        <v>260</v>
      </c>
      <c r="R262" s="32">
        <v>120</v>
      </c>
      <c r="S262" s="32">
        <v>96</v>
      </c>
      <c r="T262" s="32">
        <v>48</v>
      </c>
      <c r="U262" s="32"/>
      <c r="V262" s="32"/>
      <c r="W262" s="32"/>
      <c r="X262">
        <f t="shared" si="9"/>
        <v>3</v>
      </c>
      <c r="BK262" s="32">
        <v>260</v>
      </c>
      <c r="BL262">
        <v>15</v>
      </c>
      <c r="BM262">
        <v>2.5</v>
      </c>
    </row>
    <row r="263" spans="1:65" x14ac:dyDescent="0.45">
      <c r="A263" s="33"/>
      <c r="B263" s="32">
        <v>9</v>
      </c>
      <c r="C263" s="32">
        <v>261</v>
      </c>
      <c r="D263" s="32">
        <v>60</v>
      </c>
      <c r="E263" s="32">
        <v>60</v>
      </c>
      <c r="F263" s="32">
        <v>48</v>
      </c>
      <c r="G263" s="32">
        <v>48</v>
      </c>
      <c r="H263" s="32">
        <v>48</v>
      </c>
      <c r="I263" s="32"/>
      <c r="J263" s="32"/>
      <c r="K263" s="32"/>
      <c r="L263" s="32"/>
      <c r="M263" s="39"/>
      <c r="N263" s="43">
        <f t="shared" si="8"/>
        <v>5</v>
      </c>
      <c r="O263" s="33"/>
      <c r="P263" s="32">
        <v>9</v>
      </c>
      <c r="Q263" s="32">
        <v>261</v>
      </c>
      <c r="R263" s="32">
        <v>120</v>
      </c>
      <c r="S263" s="32">
        <v>96</v>
      </c>
      <c r="T263" s="32">
        <v>48</v>
      </c>
      <c r="U263" s="32"/>
      <c r="V263" s="32"/>
      <c r="W263" s="32"/>
      <c r="X263">
        <f t="shared" si="9"/>
        <v>3</v>
      </c>
      <c r="BK263" s="32">
        <v>261</v>
      </c>
      <c r="BL263">
        <v>15</v>
      </c>
      <c r="BM263">
        <v>2.5</v>
      </c>
    </row>
    <row r="264" spans="1:65" x14ac:dyDescent="0.45">
      <c r="A264" s="33"/>
      <c r="B264" s="32">
        <v>10</v>
      </c>
      <c r="C264" s="32">
        <v>262</v>
      </c>
      <c r="D264" s="32">
        <v>60</v>
      </c>
      <c r="E264" s="32">
        <v>60</v>
      </c>
      <c r="F264" s="32">
        <v>48</v>
      </c>
      <c r="G264" s="32">
        <v>48</v>
      </c>
      <c r="H264" s="32">
        <v>48</v>
      </c>
      <c r="I264" s="32"/>
      <c r="J264" s="32"/>
      <c r="K264" s="32"/>
      <c r="L264" s="32"/>
      <c r="M264" s="39"/>
      <c r="N264" s="43">
        <f t="shared" si="8"/>
        <v>5</v>
      </c>
      <c r="O264" s="33"/>
      <c r="P264" s="32">
        <v>10</v>
      </c>
      <c r="Q264" s="32">
        <v>262</v>
      </c>
      <c r="R264" s="32">
        <v>120</v>
      </c>
      <c r="S264" s="32">
        <v>96</v>
      </c>
      <c r="T264" s="32">
        <v>48</v>
      </c>
      <c r="U264" s="32"/>
      <c r="V264" s="32"/>
      <c r="W264" s="32"/>
      <c r="X264">
        <f t="shared" si="9"/>
        <v>3</v>
      </c>
      <c r="BK264" s="32">
        <v>262</v>
      </c>
      <c r="BL264">
        <v>15</v>
      </c>
      <c r="BM264">
        <v>2.5</v>
      </c>
    </row>
    <row r="265" spans="1:65" x14ac:dyDescent="0.45">
      <c r="A265" s="33"/>
      <c r="B265" s="32">
        <v>11</v>
      </c>
      <c r="C265" s="32">
        <v>263</v>
      </c>
      <c r="D265" s="32">
        <v>60</v>
      </c>
      <c r="E265" s="32">
        <v>60</v>
      </c>
      <c r="F265" s="32">
        <v>48</v>
      </c>
      <c r="G265" s="32">
        <v>48</v>
      </c>
      <c r="H265" s="32">
        <v>48</v>
      </c>
      <c r="I265" s="32"/>
      <c r="J265" s="32"/>
      <c r="K265" s="32"/>
      <c r="L265" s="32"/>
      <c r="M265" s="39"/>
      <c r="N265" s="43">
        <f t="shared" si="8"/>
        <v>5</v>
      </c>
      <c r="O265" s="33"/>
      <c r="P265" s="32">
        <v>11</v>
      </c>
      <c r="Q265" s="32">
        <v>263</v>
      </c>
      <c r="R265" s="32">
        <v>120</v>
      </c>
      <c r="S265" s="32">
        <v>96</v>
      </c>
      <c r="T265" s="32">
        <v>48</v>
      </c>
      <c r="U265" s="32"/>
      <c r="V265" s="32"/>
      <c r="W265" s="32"/>
      <c r="X265">
        <f t="shared" si="9"/>
        <v>3</v>
      </c>
      <c r="BK265" s="32">
        <v>263</v>
      </c>
      <c r="BL265">
        <v>15</v>
      </c>
      <c r="BM265">
        <v>2.5</v>
      </c>
    </row>
    <row r="266" spans="1:65" x14ac:dyDescent="0.45">
      <c r="A266" s="33">
        <v>22</v>
      </c>
      <c r="B266" s="32"/>
      <c r="C266" s="32">
        <v>264</v>
      </c>
      <c r="D266" s="32">
        <v>60</v>
      </c>
      <c r="E266" s="32">
        <v>60</v>
      </c>
      <c r="F266" s="32">
        <v>48</v>
      </c>
      <c r="G266" s="32">
        <v>48</v>
      </c>
      <c r="H266" s="32">
        <v>48</v>
      </c>
      <c r="I266" s="32"/>
      <c r="J266" s="32"/>
      <c r="K266" s="32"/>
      <c r="L266" s="32"/>
      <c r="M266" s="39"/>
      <c r="N266" s="43">
        <f t="shared" si="8"/>
        <v>5</v>
      </c>
      <c r="O266" s="33">
        <v>22</v>
      </c>
      <c r="P266" s="32"/>
      <c r="Q266" s="32">
        <v>264</v>
      </c>
      <c r="R266" s="32">
        <v>120</v>
      </c>
      <c r="S266" s="32">
        <v>96</v>
      </c>
      <c r="T266" s="32">
        <v>48</v>
      </c>
      <c r="U266" s="32"/>
      <c r="V266" s="32"/>
      <c r="W266" s="32"/>
      <c r="X266">
        <f t="shared" si="9"/>
        <v>3</v>
      </c>
      <c r="BK266" s="32">
        <v>264</v>
      </c>
      <c r="BL266">
        <v>15</v>
      </c>
      <c r="BM266">
        <v>2.5</v>
      </c>
    </row>
    <row r="267" spans="1:65" x14ac:dyDescent="0.45">
      <c r="A267" s="33"/>
      <c r="B267" s="32">
        <v>1</v>
      </c>
      <c r="C267" s="32">
        <v>265</v>
      </c>
      <c r="D267" s="32">
        <v>60</v>
      </c>
      <c r="E267" s="32">
        <v>60</v>
      </c>
      <c r="F267" s="32">
        <v>60</v>
      </c>
      <c r="G267" s="32">
        <v>48</v>
      </c>
      <c r="H267" s="32">
        <v>48</v>
      </c>
      <c r="I267" s="32"/>
      <c r="J267" s="32"/>
      <c r="K267" s="32"/>
      <c r="L267" s="32"/>
      <c r="M267" s="39"/>
      <c r="N267" s="43">
        <f t="shared" si="8"/>
        <v>5</v>
      </c>
      <c r="O267" s="33"/>
      <c r="P267" s="32">
        <v>1</v>
      </c>
      <c r="Q267" s="32">
        <v>265</v>
      </c>
      <c r="R267" s="32">
        <v>120</v>
      </c>
      <c r="S267" s="32">
        <v>96</v>
      </c>
      <c r="T267" s="32">
        <v>60</v>
      </c>
      <c r="U267" s="32"/>
      <c r="V267" s="32"/>
      <c r="W267" s="32"/>
      <c r="X267">
        <f t="shared" si="9"/>
        <v>3</v>
      </c>
      <c r="BK267" s="32">
        <v>265</v>
      </c>
      <c r="BL267">
        <v>15</v>
      </c>
      <c r="BM267">
        <v>2.5</v>
      </c>
    </row>
    <row r="268" spans="1:65" x14ac:dyDescent="0.45">
      <c r="A268" s="33"/>
      <c r="B268" s="32">
        <v>2</v>
      </c>
      <c r="C268" s="32">
        <v>266</v>
      </c>
      <c r="D268" s="32">
        <v>60</v>
      </c>
      <c r="E268" s="32">
        <v>60</v>
      </c>
      <c r="F268" s="32">
        <v>60</v>
      </c>
      <c r="G268" s="32">
        <v>48</v>
      </c>
      <c r="H268" s="32">
        <v>48</v>
      </c>
      <c r="I268" s="32"/>
      <c r="J268" s="32"/>
      <c r="K268" s="32"/>
      <c r="L268" s="32"/>
      <c r="M268" s="39"/>
      <c r="N268" s="43">
        <f t="shared" si="8"/>
        <v>5</v>
      </c>
      <c r="O268" s="33"/>
      <c r="P268" s="32">
        <v>2</v>
      </c>
      <c r="Q268" s="32">
        <v>266</v>
      </c>
      <c r="R268" s="32">
        <v>120</v>
      </c>
      <c r="S268" s="32">
        <v>96</v>
      </c>
      <c r="T268" s="32">
        <v>60</v>
      </c>
      <c r="U268" s="32"/>
      <c r="V268" s="32"/>
      <c r="W268" s="32"/>
      <c r="X268">
        <f t="shared" si="9"/>
        <v>3</v>
      </c>
      <c r="BK268" s="32">
        <v>266</v>
      </c>
      <c r="BL268">
        <v>15</v>
      </c>
      <c r="BM268">
        <v>2.5</v>
      </c>
    </row>
    <row r="269" spans="1:65" x14ac:dyDescent="0.45">
      <c r="A269" s="33"/>
      <c r="B269" s="32">
        <v>3</v>
      </c>
      <c r="C269" s="32">
        <v>267</v>
      </c>
      <c r="D269" s="32">
        <v>60</v>
      </c>
      <c r="E269" s="32">
        <v>60</v>
      </c>
      <c r="F269" s="32">
        <v>60</v>
      </c>
      <c r="G269" s="32">
        <v>48</v>
      </c>
      <c r="H269" s="32">
        <v>48</v>
      </c>
      <c r="I269" s="32"/>
      <c r="J269" s="32"/>
      <c r="K269" s="32"/>
      <c r="L269" s="32"/>
      <c r="M269" s="39"/>
      <c r="N269" s="43">
        <f t="shared" si="8"/>
        <v>5</v>
      </c>
      <c r="O269" s="33"/>
      <c r="P269" s="32">
        <v>3</v>
      </c>
      <c r="Q269" s="32">
        <v>267</v>
      </c>
      <c r="R269" s="32">
        <v>120</v>
      </c>
      <c r="S269" s="32">
        <v>96</v>
      </c>
      <c r="T269" s="32">
        <v>60</v>
      </c>
      <c r="U269" s="32"/>
      <c r="V269" s="32"/>
      <c r="W269" s="32"/>
      <c r="X269">
        <f t="shared" si="9"/>
        <v>3</v>
      </c>
      <c r="BK269" s="32">
        <v>267</v>
      </c>
      <c r="BL269">
        <v>15</v>
      </c>
      <c r="BM269">
        <v>2.5</v>
      </c>
    </row>
    <row r="270" spans="1:65" x14ac:dyDescent="0.45">
      <c r="A270" s="33"/>
      <c r="B270" s="32">
        <v>4</v>
      </c>
      <c r="C270" s="32">
        <v>268</v>
      </c>
      <c r="D270" s="32">
        <v>60</v>
      </c>
      <c r="E270" s="32">
        <v>60</v>
      </c>
      <c r="F270" s="32">
        <v>60</v>
      </c>
      <c r="G270" s="32">
        <v>48</v>
      </c>
      <c r="H270" s="32">
        <v>48</v>
      </c>
      <c r="I270" s="32"/>
      <c r="J270" s="32"/>
      <c r="K270" s="32"/>
      <c r="L270" s="32"/>
      <c r="M270" s="39"/>
      <c r="N270" s="43">
        <f t="shared" si="8"/>
        <v>5</v>
      </c>
      <c r="O270" s="33"/>
      <c r="P270" s="32">
        <v>4</v>
      </c>
      <c r="Q270" s="32">
        <v>268</v>
      </c>
      <c r="R270" s="32">
        <v>120</v>
      </c>
      <c r="S270" s="32">
        <v>96</v>
      </c>
      <c r="T270" s="32">
        <v>60</v>
      </c>
      <c r="U270" s="32"/>
      <c r="V270" s="32"/>
      <c r="W270" s="32"/>
      <c r="X270">
        <f t="shared" si="9"/>
        <v>3</v>
      </c>
      <c r="BK270" s="32">
        <v>268</v>
      </c>
      <c r="BL270">
        <v>15</v>
      </c>
      <c r="BM270">
        <v>2.5</v>
      </c>
    </row>
    <row r="271" spans="1:65" x14ac:dyDescent="0.45">
      <c r="A271" s="33"/>
      <c r="B271" s="32">
        <v>5</v>
      </c>
      <c r="C271" s="32">
        <v>269</v>
      </c>
      <c r="D271" s="32">
        <v>60</v>
      </c>
      <c r="E271" s="32">
        <v>60</v>
      </c>
      <c r="F271" s="32">
        <v>60</v>
      </c>
      <c r="G271" s="32">
        <v>48</v>
      </c>
      <c r="H271" s="32">
        <v>48</v>
      </c>
      <c r="I271" s="32"/>
      <c r="J271" s="32"/>
      <c r="K271" s="32"/>
      <c r="L271" s="32"/>
      <c r="M271" s="39"/>
      <c r="N271" s="43">
        <f t="shared" si="8"/>
        <v>5</v>
      </c>
      <c r="O271" s="33"/>
      <c r="P271" s="32">
        <v>5</v>
      </c>
      <c r="Q271" s="32">
        <v>269</v>
      </c>
      <c r="R271" s="32">
        <v>120</v>
      </c>
      <c r="S271" s="32">
        <v>96</v>
      </c>
      <c r="T271" s="32">
        <v>60</v>
      </c>
      <c r="U271" s="32"/>
      <c r="V271" s="32"/>
      <c r="W271" s="32"/>
      <c r="X271">
        <f t="shared" si="9"/>
        <v>3</v>
      </c>
      <c r="BK271" s="32">
        <v>269</v>
      </c>
      <c r="BL271">
        <v>15</v>
      </c>
      <c r="BM271">
        <v>2.5</v>
      </c>
    </row>
    <row r="272" spans="1:65" x14ac:dyDescent="0.45">
      <c r="A272" s="33"/>
      <c r="B272" s="32">
        <v>6</v>
      </c>
      <c r="C272" s="32">
        <v>270</v>
      </c>
      <c r="D272" s="32">
        <v>60</v>
      </c>
      <c r="E272" s="32">
        <v>60</v>
      </c>
      <c r="F272" s="32">
        <v>60</v>
      </c>
      <c r="G272" s="32">
        <v>48</v>
      </c>
      <c r="H272" s="32">
        <v>48</v>
      </c>
      <c r="I272" s="32"/>
      <c r="J272" s="32"/>
      <c r="K272" s="32"/>
      <c r="L272" s="32"/>
      <c r="M272" s="39"/>
      <c r="N272" s="43">
        <f t="shared" si="8"/>
        <v>5</v>
      </c>
      <c r="O272" s="33"/>
      <c r="P272" s="32">
        <v>6</v>
      </c>
      <c r="Q272" s="32">
        <v>270</v>
      </c>
      <c r="R272" s="32">
        <v>120</v>
      </c>
      <c r="S272" s="32">
        <v>96</v>
      </c>
      <c r="T272" s="32">
        <v>60</v>
      </c>
      <c r="U272" s="32"/>
      <c r="V272" s="32"/>
      <c r="W272" s="32"/>
      <c r="X272">
        <f t="shared" si="9"/>
        <v>3</v>
      </c>
      <c r="BK272" s="32">
        <v>270</v>
      </c>
      <c r="BL272">
        <v>15</v>
      </c>
      <c r="BM272">
        <v>2.5</v>
      </c>
    </row>
    <row r="273" spans="1:65" x14ac:dyDescent="0.45">
      <c r="A273" s="33"/>
      <c r="B273" s="32">
        <v>7</v>
      </c>
      <c r="C273" s="32">
        <v>271</v>
      </c>
      <c r="D273" s="32">
        <v>60</v>
      </c>
      <c r="E273" s="32">
        <v>60</v>
      </c>
      <c r="F273" s="32">
        <v>60</v>
      </c>
      <c r="G273" s="32">
        <v>48</v>
      </c>
      <c r="H273" s="32">
        <v>48</v>
      </c>
      <c r="I273" s="32"/>
      <c r="J273" s="32"/>
      <c r="K273" s="32"/>
      <c r="L273" s="32"/>
      <c r="M273" s="39"/>
      <c r="N273" s="43">
        <f t="shared" si="8"/>
        <v>5</v>
      </c>
      <c r="O273" s="33"/>
      <c r="P273" s="32">
        <v>7</v>
      </c>
      <c r="Q273" s="32">
        <v>271</v>
      </c>
      <c r="R273" s="32">
        <v>120</v>
      </c>
      <c r="S273" s="32">
        <v>96</v>
      </c>
      <c r="T273" s="32">
        <v>60</v>
      </c>
      <c r="U273" s="32"/>
      <c r="V273" s="32"/>
      <c r="W273" s="32"/>
      <c r="X273">
        <f t="shared" si="9"/>
        <v>3</v>
      </c>
      <c r="BK273" s="32">
        <v>271</v>
      </c>
      <c r="BL273">
        <v>15</v>
      </c>
      <c r="BM273">
        <v>2.5</v>
      </c>
    </row>
    <row r="274" spans="1:65" x14ac:dyDescent="0.45">
      <c r="A274" s="33"/>
      <c r="B274" s="32">
        <v>8</v>
      </c>
      <c r="C274" s="32">
        <v>272</v>
      </c>
      <c r="D274" s="32">
        <v>60</v>
      </c>
      <c r="E274" s="32">
        <v>60</v>
      </c>
      <c r="F274" s="32">
        <v>60</v>
      </c>
      <c r="G274" s="32">
        <v>48</v>
      </c>
      <c r="H274" s="32">
        <v>48</v>
      </c>
      <c r="I274" s="32"/>
      <c r="J274" s="32"/>
      <c r="K274" s="32"/>
      <c r="L274" s="32"/>
      <c r="M274" s="39"/>
      <c r="N274" s="43">
        <f t="shared" si="8"/>
        <v>5</v>
      </c>
      <c r="O274" s="33"/>
      <c r="P274" s="32">
        <v>8</v>
      </c>
      <c r="Q274" s="32">
        <v>272</v>
      </c>
      <c r="R274" s="32">
        <v>120</v>
      </c>
      <c r="S274" s="32">
        <v>96</v>
      </c>
      <c r="T274" s="32">
        <v>60</v>
      </c>
      <c r="U274" s="32"/>
      <c r="V274" s="32"/>
      <c r="W274" s="32"/>
      <c r="X274">
        <f t="shared" si="9"/>
        <v>3</v>
      </c>
      <c r="BK274" s="32">
        <v>272</v>
      </c>
      <c r="BL274">
        <v>15</v>
      </c>
      <c r="BM274">
        <v>2.5</v>
      </c>
    </row>
    <row r="275" spans="1:65" x14ac:dyDescent="0.45">
      <c r="A275" s="33"/>
      <c r="B275" s="32">
        <v>9</v>
      </c>
      <c r="C275" s="32">
        <v>273</v>
      </c>
      <c r="D275" s="32">
        <v>60</v>
      </c>
      <c r="E275" s="32">
        <v>60</v>
      </c>
      <c r="F275" s="32">
        <v>60</v>
      </c>
      <c r="G275" s="32">
        <v>48</v>
      </c>
      <c r="H275" s="32">
        <v>48</v>
      </c>
      <c r="I275" s="32"/>
      <c r="J275" s="32"/>
      <c r="K275" s="32"/>
      <c r="L275" s="32"/>
      <c r="M275" s="39"/>
      <c r="N275" s="43">
        <f t="shared" si="8"/>
        <v>5</v>
      </c>
      <c r="O275" s="33"/>
      <c r="P275" s="32">
        <v>9</v>
      </c>
      <c r="Q275" s="32">
        <v>273</v>
      </c>
      <c r="R275" s="32">
        <v>120</v>
      </c>
      <c r="S275" s="32">
        <v>96</v>
      </c>
      <c r="T275" s="32">
        <v>60</v>
      </c>
      <c r="U275" s="32"/>
      <c r="V275" s="32"/>
      <c r="W275" s="32"/>
      <c r="X275">
        <f t="shared" si="9"/>
        <v>3</v>
      </c>
      <c r="BK275" s="32">
        <v>273</v>
      </c>
      <c r="BL275">
        <v>15</v>
      </c>
      <c r="BM275">
        <v>2.5</v>
      </c>
    </row>
    <row r="276" spans="1:65" x14ac:dyDescent="0.45">
      <c r="A276" s="33"/>
      <c r="B276" s="32">
        <v>10</v>
      </c>
      <c r="C276" s="32">
        <v>274</v>
      </c>
      <c r="D276" s="32">
        <v>60</v>
      </c>
      <c r="E276" s="32">
        <v>60</v>
      </c>
      <c r="F276" s="32">
        <v>60</v>
      </c>
      <c r="G276" s="32">
        <v>48</v>
      </c>
      <c r="H276" s="32">
        <v>48</v>
      </c>
      <c r="I276" s="32"/>
      <c r="J276" s="32"/>
      <c r="K276" s="32"/>
      <c r="L276" s="32"/>
      <c r="M276" s="39"/>
      <c r="N276" s="43">
        <f t="shared" si="8"/>
        <v>5</v>
      </c>
      <c r="O276" s="33"/>
      <c r="P276" s="32">
        <v>10</v>
      </c>
      <c r="Q276" s="32">
        <v>274</v>
      </c>
      <c r="R276" s="32">
        <v>120</v>
      </c>
      <c r="S276" s="32">
        <v>96</v>
      </c>
      <c r="T276" s="32">
        <v>60</v>
      </c>
      <c r="U276" s="32"/>
      <c r="V276" s="32"/>
      <c r="W276" s="32"/>
      <c r="X276">
        <f t="shared" si="9"/>
        <v>3</v>
      </c>
      <c r="BK276" s="32">
        <v>274</v>
      </c>
      <c r="BL276">
        <v>15</v>
      </c>
      <c r="BM276">
        <v>2.5</v>
      </c>
    </row>
    <row r="277" spans="1:65" x14ac:dyDescent="0.45">
      <c r="A277" s="33"/>
      <c r="B277" s="32">
        <v>11</v>
      </c>
      <c r="C277" s="32">
        <v>275</v>
      </c>
      <c r="D277" s="32">
        <v>60</v>
      </c>
      <c r="E277" s="32">
        <v>60</v>
      </c>
      <c r="F277" s="32">
        <v>60</v>
      </c>
      <c r="G277" s="32">
        <v>48</v>
      </c>
      <c r="H277" s="32">
        <v>48</v>
      </c>
      <c r="I277" s="32"/>
      <c r="J277" s="32"/>
      <c r="K277" s="32"/>
      <c r="L277" s="32"/>
      <c r="M277" s="39"/>
      <c r="N277" s="43">
        <f t="shared" si="8"/>
        <v>5</v>
      </c>
      <c r="O277" s="33"/>
      <c r="P277" s="32">
        <v>11</v>
      </c>
      <c r="Q277" s="32">
        <v>275</v>
      </c>
      <c r="R277" s="32">
        <v>120</v>
      </c>
      <c r="S277" s="32">
        <v>96</v>
      </c>
      <c r="T277" s="32">
        <v>60</v>
      </c>
      <c r="U277" s="32"/>
      <c r="V277" s="32"/>
      <c r="W277" s="32"/>
      <c r="X277">
        <f t="shared" si="9"/>
        <v>3</v>
      </c>
      <c r="BK277" s="32">
        <v>275</v>
      </c>
      <c r="BL277">
        <v>15</v>
      </c>
      <c r="BM277">
        <v>2.5</v>
      </c>
    </row>
    <row r="278" spans="1:65" x14ac:dyDescent="0.45">
      <c r="A278" s="33">
        <v>23</v>
      </c>
      <c r="B278" s="32"/>
      <c r="C278" s="32">
        <v>276</v>
      </c>
      <c r="D278" s="32">
        <v>60</v>
      </c>
      <c r="E278" s="32">
        <v>60</v>
      </c>
      <c r="F278" s="32">
        <v>60</v>
      </c>
      <c r="G278" s="32">
        <v>48</v>
      </c>
      <c r="H278" s="32">
        <v>48</v>
      </c>
      <c r="I278" s="32"/>
      <c r="J278" s="32"/>
      <c r="K278" s="32"/>
      <c r="L278" s="32"/>
      <c r="M278" s="39"/>
      <c r="N278" s="43">
        <f t="shared" si="8"/>
        <v>5</v>
      </c>
      <c r="O278" s="33">
        <v>23</v>
      </c>
      <c r="P278" s="32"/>
      <c r="Q278" s="32">
        <v>276</v>
      </c>
      <c r="R278" s="32">
        <v>120</v>
      </c>
      <c r="S278" s="32">
        <v>96</v>
      </c>
      <c r="T278" s="32">
        <v>60</v>
      </c>
      <c r="U278" s="32"/>
      <c r="V278" s="32"/>
      <c r="W278" s="32"/>
      <c r="X278">
        <f t="shared" si="9"/>
        <v>3</v>
      </c>
      <c r="BK278" s="32">
        <v>276</v>
      </c>
      <c r="BL278">
        <v>15</v>
      </c>
      <c r="BM278">
        <v>2.5</v>
      </c>
    </row>
    <row r="279" spans="1:65" x14ac:dyDescent="0.45">
      <c r="A279" s="33"/>
      <c r="B279" s="32">
        <v>1</v>
      </c>
      <c r="C279" s="32">
        <v>277</v>
      </c>
      <c r="D279" s="32">
        <v>60</v>
      </c>
      <c r="E279" s="32">
        <v>60</v>
      </c>
      <c r="F279" s="32">
        <v>60</v>
      </c>
      <c r="G279" s="32">
        <v>60</v>
      </c>
      <c r="H279" s="32">
        <v>48</v>
      </c>
      <c r="I279" s="32"/>
      <c r="J279" s="32"/>
      <c r="K279" s="32"/>
      <c r="L279" s="32"/>
      <c r="M279" s="39"/>
      <c r="N279" s="43">
        <f t="shared" si="8"/>
        <v>5</v>
      </c>
      <c r="O279" s="33"/>
      <c r="P279" s="32">
        <v>1</v>
      </c>
      <c r="Q279" s="32">
        <v>277</v>
      </c>
      <c r="R279" s="32">
        <v>120</v>
      </c>
      <c r="S279" s="32">
        <v>120</v>
      </c>
      <c r="T279" s="32">
        <v>48</v>
      </c>
      <c r="U279" s="32"/>
      <c r="V279" s="32"/>
      <c r="W279" s="32"/>
      <c r="X279">
        <f t="shared" si="9"/>
        <v>3</v>
      </c>
      <c r="BK279" s="32">
        <v>277</v>
      </c>
      <c r="BL279">
        <v>15</v>
      </c>
      <c r="BM279">
        <v>2.5</v>
      </c>
    </row>
    <row r="280" spans="1:65" x14ac:dyDescent="0.45">
      <c r="A280" s="33"/>
      <c r="B280" s="32">
        <v>2</v>
      </c>
      <c r="C280" s="32">
        <v>278</v>
      </c>
      <c r="D280" s="32">
        <v>60</v>
      </c>
      <c r="E280" s="32">
        <v>60</v>
      </c>
      <c r="F280" s="32">
        <v>60</v>
      </c>
      <c r="G280" s="32">
        <v>60</v>
      </c>
      <c r="H280" s="32">
        <v>48</v>
      </c>
      <c r="I280" s="32"/>
      <c r="J280" s="32"/>
      <c r="K280" s="32"/>
      <c r="L280" s="32"/>
      <c r="M280" s="39"/>
      <c r="N280" s="43">
        <f t="shared" si="8"/>
        <v>5</v>
      </c>
      <c r="O280" s="33"/>
      <c r="P280" s="32">
        <v>2</v>
      </c>
      <c r="Q280" s="32">
        <v>278</v>
      </c>
      <c r="R280" s="32">
        <v>120</v>
      </c>
      <c r="S280" s="32">
        <v>120</v>
      </c>
      <c r="T280" s="32">
        <v>48</v>
      </c>
      <c r="U280" s="32"/>
      <c r="V280" s="32"/>
      <c r="W280" s="32"/>
      <c r="X280">
        <f t="shared" si="9"/>
        <v>3</v>
      </c>
      <c r="BK280" s="32">
        <v>278</v>
      </c>
      <c r="BL280">
        <v>15</v>
      </c>
      <c r="BM280">
        <v>2.5</v>
      </c>
    </row>
    <row r="281" spans="1:65" x14ac:dyDescent="0.45">
      <c r="A281" s="33"/>
      <c r="B281" s="32">
        <v>3</v>
      </c>
      <c r="C281" s="32">
        <v>279</v>
      </c>
      <c r="D281" s="32">
        <v>60</v>
      </c>
      <c r="E281" s="32">
        <v>60</v>
      </c>
      <c r="F281" s="32">
        <v>60</v>
      </c>
      <c r="G281" s="32">
        <v>60</v>
      </c>
      <c r="H281" s="32">
        <v>48</v>
      </c>
      <c r="I281" s="32"/>
      <c r="J281" s="32"/>
      <c r="K281" s="32"/>
      <c r="L281" s="32"/>
      <c r="M281" s="39"/>
      <c r="N281" s="43">
        <f t="shared" si="8"/>
        <v>5</v>
      </c>
      <c r="O281" s="33"/>
      <c r="P281" s="32">
        <v>3</v>
      </c>
      <c r="Q281" s="32">
        <v>279</v>
      </c>
      <c r="R281" s="32">
        <v>120</v>
      </c>
      <c r="S281" s="32">
        <v>120</v>
      </c>
      <c r="T281" s="32">
        <v>48</v>
      </c>
      <c r="U281" s="32"/>
      <c r="V281" s="32"/>
      <c r="W281" s="32"/>
      <c r="X281">
        <f t="shared" si="9"/>
        <v>3</v>
      </c>
      <c r="BK281" s="32">
        <v>279</v>
      </c>
      <c r="BL281">
        <v>15</v>
      </c>
      <c r="BM281">
        <v>2.5</v>
      </c>
    </row>
    <row r="282" spans="1:65" x14ac:dyDescent="0.45">
      <c r="A282" s="33"/>
      <c r="B282" s="32">
        <v>4</v>
      </c>
      <c r="C282" s="32">
        <v>280</v>
      </c>
      <c r="D282" s="32">
        <v>60</v>
      </c>
      <c r="E282" s="32">
        <v>60</v>
      </c>
      <c r="F282" s="32">
        <v>60</v>
      </c>
      <c r="G282" s="32">
        <v>60</v>
      </c>
      <c r="H282" s="32">
        <v>48</v>
      </c>
      <c r="I282" s="32"/>
      <c r="J282" s="32"/>
      <c r="K282" s="32"/>
      <c r="L282" s="32"/>
      <c r="M282" s="39"/>
      <c r="N282" s="43">
        <f t="shared" si="8"/>
        <v>5</v>
      </c>
      <c r="O282" s="33"/>
      <c r="P282" s="32">
        <v>4</v>
      </c>
      <c r="Q282" s="32">
        <v>280</v>
      </c>
      <c r="R282" s="32">
        <v>120</v>
      </c>
      <c r="S282" s="32">
        <v>120</v>
      </c>
      <c r="T282" s="32">
        <v>48</v>
      </c>
      <c r="U282" s="32"/>
      <c r="V282" s="32"/>
      <c r="W282" s="32"/>
      <c r="X282">
        <f t="shared" si="9"/>
        <v>3</v>
      </c>
      <c r="BK282" s="32">
        <v>280</v>
      </c>
      <c r="BL282">
        <v>15</v>
      </c>
      <c r="BM282">
        <v>2.5</v>
      </c>
    </row>
    <row r="283" spans="1:65" x14ac:dyDescent="0.45">
      <c r="A283" s="33"/>
      <c r="B283" s="32">
        <v>5</v>
      </c>
      <c r="C283" s="32">
        <v>281</v>
      </c>
      <c r="D283" s="32">
        <v>60</v>
      </c>
      <c r="E283" s="32">
        <v>60</v>
      </c>
      <c r="F283" s="32">
        <v>60</v>
      </c>
      <c r="G283" s="32">
        <v>60</v>
      </c>
      <c r="H283" s="32">
        <v>48</v>
      </c>
      <c r="I283" s="32"/>
      <c r="J283" s="32"/>
      <c r="K283" s="32"/>
      <c r="L283" s="32"/>
      <c r="M283" s="39"/>
      <c r="N283" s="43">
        <f t="shared" si="8"/>
        <v>5</v>
      </c>
      <c r="O283" s="33"/>
      <c r="P283" s="32">
        <v>5</v>
      </c>
      <c r="Q283" s="32">
        <v>281</v>
      </c>
      <c r="R283" s="32">
        <v>120</v>
      </c>
      <c r="S283" s="32">
        <v>120</v>
      </c>
      <c r="T283" s="32">
        <v>48</v>
      </c>
      <c r="U283" s="32"/>
      <c r="V283" s="32"/>
      <c r="W283" s="32"/>
      <c r="X283">
        <f t="shared" si="9"/>
        <v>3</v>
      </c>
      <c r="BK283" s="32">
        <v>281</v>
      </c>
      <c r="BL283">
        <v>15</v>
      </c>
      <c r="BM283">
        <v>2.5</v>
      </c>
    </row>
    <row r="284" spans="1:65" x14ac:dyDescent="0.45">
      <c r="A284" s="33"/>
      <c r="B284" s="32">
        <v>6</v>
      </c>
      <c r="C284" s="32">
        <v>282</v>
      </c>
      <c r="D284" s="32">
        <v>60</v>
      </c>
      <c r="E284" s="32">
        <v>60</v>
      </c>
      <c r="F284" s="32">
        <v>60</v>
      </c>
      <c r="G284" s="32">
        <v>60</v>
      </c>
      <c r="H284" s="32">
        <v>48</v>
      </c>
      <c r="I284" s="32"/>
      <c r="J284" s="32"/>
      <c r="K284" s="32"/>
      <c r="L284" s="32"/>
      <c r="M284" s="39"/>
      <c r="N284" s="43">
        <f t="shared" si="8"/>
        <v>5</v>
      </c>
      <c r="O284" s="33"/>
      <c r="P284" s="32">
        <v>6</v>
      </c>
      <c r="Q284" s="32">
        <v>282</v>
      </c>
      <c r="R284" s="32">
        <v>120</v>
      </c>
      <c r="S284" s="32">
        <v>120</v>
      </c>
      <c r="T284" s="32">
        <v>48</v>
      </c>
      <c r="U284" s="32"/>
      <c r="V284" s="32"/>
      <c r="W284" s="32"/>
      <c r="X284">
        <f t="shared" si="9"/>
        <v>3</v>
      </c>
      <c r="BK284" s="32">
        <v>282</v>
      </c>
      <c r="BL284">
        <v>15</v>
      </c>
      <c r="BM284">
        <v>2.5</v>
      </c>
    </row>
    <row r="285" spans="1:65" x14ac:dyDescent="0.45">
      <c r="A285" s="33"/>
      <c r="B285" s="32">
        <v>7</v>
      </c>
      <c r="C285" s="32">
        <v>283</v>
      </c>
      <c r="D285" s="32">
        <v>60</v>
      </c>
      <c r="E285" s="32">
        <v>60</v>
      </c>
      <c r="F285" s="32">
        <v>60</v>
      </c>
      <c r="G285" s="32">
        <v>60</v>
      </c>
      <c r="H285" s="32">
        <v>48</v>
      </c>
      <c r="I285" s="32"/>
      <c r="J285" s="32"/>
      <c r="K285" s="32"/>
      <c r="L285" s="32"/>
      <c r="M285" s="39"/>
      <c r="N285" s="43">
        <f t="shared" si="8"/>
        <v>5</v>
      </c>
      <c r="O285" s="33"/>
      <c r="P285" s="32">
        <v>7</v>
      </c>
      <c r="Q285" s="32">
        <v>283</v>
      </c>
      <c r="R285" s="32">
        <v>120</v>
      </c>
      <c r="S285" s="32">
        <v>120</v>
      </c>
      <c r="T285" s="32">
        <v>48</v>
      </c>
      <c r="U285" s="32"/>
      <c r="V285" s="32"/>
      <c r="W285" s="32"/>
      <c r="X285">
        <f t="shared" si="9"/>
        <v>3</v>
      </c>
      <c r="BK285" s="32">
        <v>283</v>
      </c>
      <c r="BL285">
        <v>15</v>
      </c>
      <c r="BM285">
        <v>2.5</v>
      </c>
    </row>
    <row r="286" spans="1:65" x14ac:dyDescent="0.45">
      <c r="A286" s="33"/>
      <c r="B286" s="32">
        <v>8</v>
      </c>
      <c r="C286" s="32">
        <v>284</v>
      </c>
      <c r="D286" s="32">
        <v>60</v>
      </c>
      <c r="E286" s="32">
        <v>60</v>
      </c>
      <c r="F286" s="32">
        <v>60</v>
      </c>
      <c r="G286" s="32">
        <v>60</v>
      </c>
      <c r="H286" s="32">
        <v>48</v>
      </c>
      <c r="I286" s="32"/>
      <c r="J286" s="32"/>
      <c r="K286" s="32"/>
      <c r="L286" s="32"/>
      <c r="M286" s="39"/>
      <c r="N286" s="43">
        <f t="shared" si="8"/>
        <v>5</v>
      </c>
      <c r="O286" s="33"/>
      <c r="P286" s="32">
        <v>8</v>
      </c>
      <c r="Q286" s="32">
        <v>284</v>
      </c>
      <c r="R286" s="32">
        <v>120</v>
      </c>
      <c r="S286" s="32">
        <v>120</v>
      </c>
      <c r="T286" s="32">
        <v>48</v>
      </c>
      <c r="U286" s="32"/>
      <c r="V286" s="32"/>
      <c r="W286" s="32"/>
      <c r="X286">
        <f t="shared" si="9"/>
        <v>3</v>
      </c>
      <c r="BK286" s="32">
        <v>284</v>
      </c>
      <c r="BL286">
        <v>15</v>
      </c>
      <c r="BM286">
        <v>2.5</v>
      </c>
    </row>
    <row r="287" spans="1:65" x14ac:dyDescent="0.45">
      <c r="A287" s="33"/>
      <c r="B287" s="32">
        <v>9</v>
      </c>
      <c r="C287" s="32">
        <v>285</v>
      </c>
      <c r="D287" s="32">
        <v>60</v>
      </c>
      <c r="E287" s="32">
        <v>60</v>
      </c>
      <c r="F287" s="32">
        <v>60</v>
      </c>
      <c r="G287" s="32">
        <v>60</v>
      </c>
      <c r="H287" s="32">
        <v>48</v>
      </c>
      <c r="I287" s="32"/>
      <c r="J287" s="32"/>
      <c r="K287" s="32"/>
      <c r="L287" s="32"/>
      <c r="M287" s="39"/>
      <c r="N287" s="43">
        <f t="shared" si="8"/>
        <v>5</v>
      </c>
      <c r="O287" s="33"/>
      <c r="P287" s="32">
        <v>9</v>
      </c>
      <c r="Q287" s="32">
        <v>285</v>
      </c>
      <c r="R287" s="32">
        <v>120</v>
      </c>
      <c r="S287" s="32">
        <v>120</v>
      </c>
      <c r="T287" s="32">
        <v>48</v>
      </c>
      <c r="U287" s="32"/>
      <c r="V287" s="32"/>
      <c r="W287" s="32"/>
      <c r="X287">
        <f t="shared" si="9"/>
        <v>3</v>
      </c>
      <c r="BK287" s="32">
        <v>285</v>
      </c>
      <c r="BL287">
        <v>15</v>
      </c>
      <c r="BM287">
        <v>2.5</v>
      </c>
    </row>
    <row r="288" spans="1:65" x14ac:dyDescent="0.45">
      <c r="A288" s="33"/>
      <c r="B288" s="32">
        <v>10</v>
      </c>
      <c r="C288" s="32">
        <v>286</v>
      </c>
      <c r="D288" s="32">
        <v>60</v>
      </c>
      <c r="E288" s="32">
        <v>60</v>
      </c>
      <c r="F288" s="32">
        <v>60</v>
      </c>
      <c r="G288" s="32">
        <v>60</v>
      </c>
      <c r="H288" s="32">
        <v>48</v>
      </c>
      <c r="I288" s="32"/>
      <c r="J288" s="32"/>
      <c r="K288" s="32"/>
      <c r="L288" s="32"/>
      <c r="M288" s="39"/>
      <c r="N288" s="43">
        <f t="shared" si="8"/>
        <v>5</v>
      </c>
      <c r="O288" s="33"/>
      <c r="P288" s="32">
        <v>10</v>
      </c>
      <c r="Q288" s="32">
        <v>286</v>
      </c>
      <c r="R288" s="32">
        <v>120</v>
      </c>
      <c r="S288" s="32">
        <v>120</v>
      </c>
      <c r="T288" s="32">
        <v>48</v>
      </c>
      <c r="U288" s="32"/>
      <c r="V288" s="32"/>
      <c r="W288" s="32"/>
      <c r="X288">
        <f t="shared" si="9"/>
        <v>3</v>
      </c>
      <c r="BK288" s="32">
        <v>286</v>
      </c>
      <c r="BL288">
        <v>15</v>
      </c>
      <c r="BM288">
        <v>2.5</v>
      </c>
    </row>
    <row r="289" spans="1:65" x14ac:dyDescent="0.45">
      <c r="A289" s="33"/>
      <c r="B289" s="32">
        <v>11</v>
      </c>
      <c r="C289" s="32">
        <v>287</v>
      </c>
      <c r="D289" s="32">
        <v>60</v>
      </c>
      <c r="E289" s="32">
        <v>60</v>
      </c>
      <c r="F289" s="32">
        <v>60</v>
      </c>
      <c r="G289" s="32">
        <v>60</v>
      </c>
      <c r="H289" s="32">
        <v>48</v>
      </c>
      <c r="I289" s="32"/>
      <c r="J289" s="32"/>
      <c r="K289" s="32"/>
      <c r="L289" s="32"/>
      <c r="M289" s="39"/>
      <c r="N289" s="43">
        <f t="shared" si="8"/>
        <v>5</v>
      </c>
      <c r="O289" s="33"/>
      <c r="P289" s="32">
        <v>11</v>
      </c>
      <c r="Q289" s="32">
        <v>287</v>
      </c>
      <c r="R289" s="32">
        <v>120</v>
      </c>
      <c r="S289" s="32">
        <v>120</v>
      </c>
      <c r="T289" s="32">
        <v>48</v>
      </c>
      <c r="U289" s="32"/>
      <c r="V289" s="32"/>
      <c r="W289" s="32"/>
      <c r="X289">
        <f t="shared" si="9"/>
        <v>3</v>
      </c>
      <c r="BK289" s="32">
        <v>287</v>
      </c>
      <c r="BL289">
        <v>15</v>
      </c>
      <c r="BM289">
        <v>2.5</v>
      </c>
    </row>
    <row r="290" spans="1:65" x14ac:dyDescent="0.45">
      <c r="A290" s="33">
        <v>24</v>
      </c>
      <c r="B290" s="32"/>
      <c r="C290" s="32">
        <v>288</v>
      </c>
      <c r="D290" s="32">
        <v>60</v>
      </c>
      <c r="E290" s="32">
        <v>60</v>
      </c>
      <c r="F290" s="32">
        <v>60</v>
      </c>
      <c r="G290" s="32">
        <v>60</v>
      </c>
      <c r="H290" s="32">
        <v>48</v>
      </c>
      <c r="I290" s="32"/>
      <c r="J290" s="32"/>
      <c r="K290" s="32"/>
      <c r="L290" s="32"/>
      <c r="M290" s="39"/>
      <c r="N290" s="43">
        <f t="shared" si="8"/>
        <v>5</v>
      </c>
      <c r="O290" s="33">
        <v>24</v>
      </c>
      <c r="P290" s="32"/>
      <c r="Q290" s="32">
        <v>288</v>
      </c>
      <c r="R290" s="32">
        <v>120</v>
      </c>
      <c r="S290" s="32">
        <v>120</v>
      </c>
      <c r="T290" s="32">
        <v>48</v>
      </c>
      <c r="U290" s="32"/>
      <c r="V290" s="32"/>
      <c r="W290" s="32"/>
      <c r="X290">
        <f t="shared" si="9"/>
        <v>3</v>
      </c>
      <c r="BK290" s="32">
        <v>288</v>
      </c>
      <c r="BL290">
        <v>15</v>
      </c>
      <c r="BM290">
        <v>2.5</v>
      </c>
    </row>
    <row r="291" spans="1:65" x14ac:dyDescent="0.45">
      <c r="A291" s="33"/>
      <c r="B291" s="32">
        <v>1</v>
      </c>
      <c r="C291" s="32">
        <v>289</v>
      </c>
      <c r="D291" s="32">
        <v>60</v>
      </c>
      <c r="E291" s="32">
        <v>60</v>
      </c>
      <c r="F291" s="32">
        <v>60</v>
      </c>
      <c r="G291" s="32">
        <v>60</v>
      </c>
      <c r="H291" s="32">
        <v>60</v>
      </c>
      <c r="I291" s="32"/>
      <c r="J291" s="32"/>
      <c r="K291" s="32"/>
      <c r="L291" s="32"/>
      <c r="M291" s="39"/>
      <c r="N291" s="43">
        <f t="shared" si="8"/>
        <v>5</v>
      </c>
      <c r="O291" s="33"/>
      <c r="P291" s="32">
        <v>1</v>
      </c>
      <c r="Q291" s="32">
        <v>289</v>
      </c>
      <c r="R291" s="32">
        <v>120</v>
      </c>
      <c r="S291" s="32">
        <v>120</v>
      </c>
      <c r="T291" s="32">
        <v>60</v>
      </c>
      <c r="U291" s="32"/>
      <c r="V291" s="32"/>
      <c r="W291" s="32"/>
      <c r="X291">
        <f t="shared" si="9"/>
        <v>3</v>
      </c>
      <c r="BK291" s="32">
        <v>289</v>
      </c>
      <c r="BL291">
        <v>15</v>
      </c>
      <c r="BM291">
        <v>2.5</v>
      </c>
    </row>
    <row r="292" spans="1:65" x14ac:dyDescent="0.45">
      <c r="A292" s="33"/>
      <c r="B292" s="32">
        <v>2</v>
      </c>
      <c r="C292" s="32">
        <v>290</v>
      </c>
      <c r="D292" s="32">
        <v>60</v>
      </c>
      <c r="E292" s="32">
        <v>60</v>
      </c>
      <c r="F292" s="32">
        <v>60</v>
      </c>
      <c r="G292" s="32">
        <v>60</v>
      </c>
      <c r="H292" s="32">
        <v>60</v>
      </c>
      <c r="I292" s="32"/>
      <c r="J292" s="32"/>
      <c r="K292" s="32"/>
      <c r="L292" s="32"/>
      <c r="M292" s="39"/>
      <c r="N292" s="43">
        <f t="shared" si="8"/>
        <v>5</v>
      </c>
      <c r="O292" s="33"/>
      <c r="P292" s="32">
        <v>2</v>
      </c>
      <c r="Q292" s="32">
        <v>290</v>
      </c>
      <c r="R292" s="32">
        <v>120</v>
      </c>
      <c r="S292" s="32">
        <v>120</v>
      </c>
      <c r="T292" s="32">
        <v>60</v>
      </c>
      <c r="U292" s="32"/>
      <c r="V292" s="32"/>
      <c r="W292" s="32"/>
      <c r="X292">
        <f t="shared" si="9"/>
        <v>3</v>
      </c>
      <c r="BK292" s="32">
        <v>290</v>
      </c>
      <c r="BL292">
        <v>15</v>
      </c>
      <c r="BM292">
        <v>2.5</v>
      </c>
    </row>
    <row r="293" spans="1:65" x14ac:dyDescent="0.45">
      <c r="A293" s="33"/>
      <c r="B293" s="32">
        <v>3</v>
      </c>
      <c r="C293" s="32">
        <v>291</v>
      </c>
      <c r="D293" s="32">
        <v>60</v>
      </c>
      <c r="E293" s="32">
        <v>60</v>
      </c>
      <c r="F293" s="32">
        <v>60</v>
      </c>
      <c r="G293" s="32">
        <v>60</v>
      </c>
      <c r="H293" s="32">
        <v>60</v>
      </c>
      <c r="I293" s="32"/>
      <c r="J293" s="32"/>
      <c r="K293" s="32"/>
      <c r="L293" s="32"/>
      <c r="M293" s="39"/>
      <c r="N293" s="43">
        <f t="shared" si="8"/>
        <v>5</v>
      </c>
      <c r="O293" s="33"/>
      <c r="P293" s="32">
        <v>3</v>
      </c>
      <c r="Q293" s="32">
        <v>291</v>
      </c>
      <c r="R293" s="32">
        <v>120</v>
      </c>
      <c r="S293" s="32">
        <v>120</v>
      </c>
      <c r="T293" s="32">
        <v>60</v>
      </c>
      <c r="U293" s="32"/>
      <c r="V293" s="32"/>
      <c r="W293" s="32"/>
      <c r="X293">
        <f t="shared" si="9"/>
        <v>3</v>
      </c>
      <c r="BK293" s="32">
        <v>291</v>
      </c>
      <c r="BL293">
        <v>15</v>
      </c>
      <c r="BM293">
        <v>2.5</v>
      </c>
    </row>
    <row r="294" spans="1:65" x14ac:dyDescent="0.45">
      <c r="A294" s="33"/>
      <c r="B294" s="32">
        <v>4</v>
      </c>
      <c r="C294" s="32">
        <v>292</v>
      </c>
      <c r="D294" s="32">
        <v>60</v>
      </c>
      <c r="E294" s="32">
        <v>60</v>
      </c>
      <c r="F294" s="32">
        <v>60</v>
      </c>
      <c r="G294" s="32">
        <v>60</v>
      </c>
      <c r="H294" s="32">
        <v>60</v>
      </c>
      <c r="I294" s="32"/>
      <c r="J294" s="32"/>
      <c r="K294" s="32"/>
      <c r="L294" s="32"/>
      <c r="M294" s="39"/>
      <c r="N294" s="43">
        <f t="shared" si="8"/>
        <v>5</v>
      </c>
      <c r="O294" s="33"/>
      <c r="P294" s="32">
        <v>4</v>
      </c>
      <c r="Q294" s="32">
        <v>292</v>
      </c>
      <c r="R294" s="32">
        <v>120</v>
      </c>
      <c r="S294" s="32">
        <v>120</v>
      </c>
      <c r="T294" s="32">
        <v>60</v>
      </c>
      <c r="U294" s="32"/>
      <c r="V294" s="32"/>
      <c r="W294" s="32"/>
      <c r="X294">
        <f t="shared" si="9"/>
        <v>3</v>
      </c>
      <c r="BK294" s="32">
        <v>292</v>
      </c>
      <c r="BL294">
        <v>15</v>
      </c>
      <c r="BM294">
        <v>2.5</v>
      </c>
    </row>
    <row r="295" spans="1:65" x14ac:dyDescent="0.45">
      <c r="A295" s="33"/>
      <c r="B295" s="32">
        <v>5</v>
      </c>
      <c r="C295" s="32">
        <v>293</v>
      </c>
      <c r="D295" s="32">
        <v>60</v>
      </c>
      <c r="E295" s="32">
        <v>60</v>
      </c>
      <c r="F295" s="32">
        <v>60</v>
      </c>
      <c r="G295" s="32">
        <v>60</v>
      </c>
      <c r="H295" s="32">
        <v>60</v>
      </c>
      <c r="I295" s="32"/>
      <c r="J295" s="32"/>
      <c r="K295" s="32"/>
      <c r="L295" s="32"/>
      <c r="M295" s="39"/>
      <c r="N295" s="43">
        <f t="shared" si="8"/>
        <v>5</v>
      </c>
      <c r="O295" s="33"/>
      <c r="P295" s="32">
        <v>5</v>
      </c>
      <c r="Q295" s="32">
        <v>293</v>
      </c>
      <c r="R295" s="32">
        <v>120</v>
      </c>
      <c r="S295" s="32">
        <v>120</v>
      </c>
      <c r="T295" s="32">
        <v>60</v>
      </c>
      <c r="U295" s="32"/>
      <c r="V295" s="32"/>
      <c r="W295" s="32"/>
      <c r="X295">
        <f t="shared" si="9"/>
        <v>3</v>
      </c>
      <c r="BK295" s="32">
        <v>293</v>
      </c>
      <c r="BL295">
        <v>15</v>
      </c>
      <c r="BM295">
        <v>2.5</v>
      </c>
    </row>
    <row r="296" spans="1:65" x14ac:dyDescent="0.45">
      <c r="A296" s="33"/>
      <c r="B296" s="32">
        <v>6</v>
      </c>
      <c r="C296" s="32">
        <v>294</v>
      </c>
      <c r="D296" s="32">
        <v>60</v>
      </c>
      <c r="E296" s="32">
        <v>60</v>
      </c>
      <c r="F296" s="32">
        <v>60</v>
      </c>
      <c r="G296" s="32">
        <v>60</v>
      </c>
      <c r="H296" s="32">
        <v>60</v>
      </c>
      <c r="I296" s="32"/>
      <c r="J296" s="32"/>
      <c r="K296" s="32"/>
      <c r="L296" s="32"/>
      <c r="M296" s="39"/>
      <c r="N296" s="43">
        <f t="shared" si="8"/>
        <v>5</v>
      </c>
      <c r="O296" s="33"/>
      <c r="P296" s="32">
        <v>6</v>
      </c>
      <c r="Q296" s="32">
        <v>294</v>
      </c>
      <c r="R296" s="32">
        <v>120</v>
      </c>
      <c r="S296" s="32">
        <v>120</v>
      </c>
      <c r="T296" s="32">
        <v>60</v>
      </c>
      <c r="U296" s="32"/>
      <c r="V296" s="32"/>
      <c r="W296" s="32"/>
      <c r="X296">
        <f t="shared" si="9"/>
        <v>3</v>
      </c>
      <c r="BK296" s="32">
        <v>294</v>
      </c>
      <c r="BL296">
        <v>15</v>
      </c>
      <c r="BM296">
        <v>2.5</v>
      </c>
    </row>
    <row r="297" spans="1:65" x14ac:dyDescent="0.45">
      <c r="A297" s="33"/>
      <c r="B297" s="32">
        <v>7</v>
      </c>
      <c r="C297" s="32">
        <v>295</v>
      </c>
      <c r="D297" s="32">
        <v>60</v>
      </c>
      <c r="E297" s="32">
        <v>60</v>
      </c>
      <c r="F297" s="32">
        <v>60</v>
      </c>
      <c r="G297" s="32">
        <v>60</v>
      </c>
      <c r="H297" s="32">
        <v>60</v>
      </c>
      <c r="I297" s="32"/>
      <c r="J297" s="32"/>
      <c r="K297" s="32"/>
      <c r="L297" s="32"/>
      <c r="M297" s="39"/>
      <c r="N297" s="43">
        <f t="shared" si="8"/>
        <v>5</v>
      </c>
      <c r="O297" s="33"/>
      <c r="P297" s="32">
        <v>7</v>
      </c>
      <c r="Q297" s="32">
        <v>295</v>
      </c>
      <c r="R297" s="32">
        <v>120</v>
      </c>
      <c r="S297" s="32">
        <v>120</v>
      </c>
      <c r="T297" s="32">
        <v>60</v>
      </c>
      <c r="U297" s="32"/>
      <c r="V297" s="32"/>
      <c r="W297" s="32"/>
      <c r="X297">
        <f t="shared" si="9"/>
        <v>3</v>
      </c>
      <c r="BK297" s="32">
        <v>295</v>
      </c>
      <c r="BL297">
        <v>15</v>
      </c>
      <c r="BM297">
        <v>2.5</v>
      </c>
    </row>
    <row r="298" spans="1:65" x14ac:dyDescent="0.45">
      <c r="A298" s="33"/>
      <c r="B298" s="32">
        <v>8</v>
      </c>
      <c r="C298" s="32">
        <v>296</v>
      </c>
      <c r="D298" s="32">
        <v>60</v>
      </c>
      <c r="E298" s="32">
        <v>60</v>
      </c>
      <c r="F298" s="32">
        <v>60</v>
      </c>
      <c r="G298" s="32">
        <v>60</v>
      </c>
      <c r="H298" s="32">
        <v>60</v>
      </c>
      <c r="I298" s="32"/>
      <c r="J298" s="32"/>
      <c r="K298" s="32"/>
      <c r="L298" s="32"/>
      <c r="M298" s="39"/>
      <c r="N298" s="43">
        <f t="shared" si="8"/>
        <v>5</v>
      </c>
      <c r="O298" s="33"/>
      <c r="P298" s="32">
        <v>8</v>
      </c>
      <c r="Q298" s="32">
        <v>296</v>
      </c>
      <c r="R298" s="32">
        <v>120</v>
      </c>
      <c r="S298" s="32">
        <v>120</v>
      </c>
      <c r="T298" s="32">
        <v>60</v>
      </c>
      <c r="U298" s="32"/>
      <c r="V298" s="32"/>
      <c r="W298" s="32"/>
      <c r="X298">
        <f t="shared" si="9"/>
        <v>3</v>
      </c>
      <c r="BK298" s="32">
        <v>296</v>
      </c>
      <c r="BL298">
        <v>15</v>
      </c>
      <c r="BM298">
        <v>2.5</v>
      </c>
    </row>
    <row r="299" spans="1:65" x14ac:dyDescent="0.45">
      <c r="A299" s="33"/>
      <c r="B299" s="32">
        <v>9</v>
      </c>
      <c r="C299" s="32">
        <v>297</v>
      </c>
      <c r="D299" s="32">
        <v>60</v>
      </c>
      <c r="E299" s="32">
        <v>60</v>
      </c>
      <c r="F299" s="32">
        <v>60</v>
      </c>
      <c r="G299" s="32">
        <v>60</v>
      </c>
      <c r="H299" s="32">
        <v>60</v>
      </c>
      <c r="I299" s="32"/>
      <c r="J299" s="32"/>
      <c r="K299" s="32"/>
      <c r="L299" s="32"/>
      <c r="M299" s="39"/>
      <c r="N299" s="43">
        <f t="shared" si="8"/>
        <v>5</v>
      </c>
      <c r="O299" s="33"/>
      <c r="P299" s="32">
        <v>9</v>
      </c>
      <c r="Q299" s="32">
        <v>297</v>
      </c>
      <c r="R299" s="32">
        <v>120</v>
      </c>
      <c r="S299" s="32">
        <v>120</v>
      </c>
      <c r="T299" s="32">
        <v>60</v>
      </c>
      <c r="U299" s="32"/>
      <c r="V299" s="32"/>
      <c r="W299" s="32"/>
      <c r="X299">
        <f t="shared" si="9"/>
        <v>3</v>
      </c>
      <c r="BK299" s="32">
        <v>297</v>
      </c>
      <c r="BL299">
        <v>15</v>
      </c>
      <c r="BM299">
        <v>2.5</v>
      </c>
    </row>
    <row r="300" spans="1:65" x14ac:dyDescent="0.45">
      <c r="A300" s="33"/>
      <c r="B300" s="32">
        <v>10</v>
      </c>
      <c r="C300" s="32">
        <v>298</v>
      </c>
      <c r="D300" s="32">
        <v>60</v>
      </c>
      <c r="E300" s="32">
        <v>60</v>
      </c>
      <c r="F300" s="32">
        <v>60</v>
      </c>
      <c r="G300" s="32">
        <v>60</v>
      </c>
      <c r="H300" s="32">
        <v>60</v>
      </c>
      <c r="I300" s="32"/>
      <c r="J300" s="32"/>
      <c r="K300" s="32"/>
      <c r="L300" s="32"/>
      <c r="M300" s="39"/>
      <c r="N300" s="43">
        <f t="shared" si="8"/>
        <v>5</v>
      </c>
      <c r="O300" s="33"/>
      <c r="P300" s="32">
        <v>10</v>
      </c>
      <c r="Q300" s="32">
        <v>298</v>
      </c>
      <c r="R300" s="32">
        <v>120</v>
      </c>
      <c r="S300" s="32">
        <v>120</v>
      </c>
      <c r="T300" s="32">
        <v>60</v>
      </c>
      <c r="U300" s="32"/>
      <c r="V300" s="32"/>
      <c r="W300" s="32"/>
      <c r="X300">
        <f t="shared" si="9"/>
        <v>3</v>
      </c>
      <c r="BK300" s="32">
        <v>298</v>
      </c>
      <c r="BL300">
        <v>15</v>
      </c>
      <c r="BM300">
        <v>2.5</v>
      </c>
    </row>
    <row r="301" spans="1:65" x14ac:dyDescent="0.45">
      <c r="A301" s="33"/>
      <c r="B301" s="32">
        <v>11</v>
      </c>
      <c r="C301" s="32">
        <v>299</v>
      </c>
      <c r="D301" s="32">
        <v>60</v>
      </c>
      <c r="E301" s="32">
        <v>60</v>
      </c>
      <c r="F301" s="32">
        <v>60</v>
      </c>
      <c r="G301" s="32">
        <v>60</v>
      </c>
      <c r="H301" s="32">
        <v>60</v>
      </c>
      <c r="I301" s="32"/>
      <c r="J301" s="32"/>
      <c r="K301" s="32"/>
      <c r="L301" s="32"/>
      <c r="M301" s="39"/>
      <c r="N301" s="43">
        <f t="shared" si="8"/>
        <v>5</v>
      </c>
      <c r="O301" s="33"/>
      <c r="P301" s="32">
        <v>11</v>
      </c>
      <c r="Q301" s="32">
        <v>299</v>
      </c>
      <c r="R301" s="32">
        <v>120</v>
      </c>
      <c r="S301" s="32">
        <v>120</v>
      </c>
      <c r="T301" s="32">
        <v>60</v>
      </c>
      <c r="U301" s="32"/>
      <c r="V301" s="32"/>
      <c r="W301" s="32"/>
      <c r="X301">
        <f t="shared" si="9"/>
        <v>3</v>
      </c>
      <c r="BK301" s="32">
        <v>299</v>
      </c>
      <c r="BL301">
        <v>15</v>
      </c>
      <c r="BM301">
        <v>2.5</v>
      </c>
    </row>
    <row r="302" spans="1:65" x14ac:dyDescent="0.45">
      <c r="A302" s="33">
        <v>25</v>
      </c>
      <c r="B302" s="32"/>
      <c r="C302" s="32">
        <v>300</v>
      </c>
      <c r="D302" s="32">
        <v>60</v>
      </c>
      <c r="E302" s="32">
        <v>60</v>
      </c>
      <c r="F302" s="32">
        <v>60</v>
      </c>
      <c r="G302" s="32">
        <v>60</v>
      </c>
      <c r="H302" s="32">
        <v>60</v>
      </c>
      <c r="I302" s="32"/>
      <c r="J302" s="32"/>
      <c r="K302" s="32"/>
      <c r="L302" s="32"/>
      <c r="M302" s="39"/>
      <c r="N302" s="43">
        <f t="shared" si="8"/>
        <v>5</v>
      </c>
      <c r="O302" s="33">
        <v>25</v>
      </c>
      <c r="P302" s="32"/>
      <c r="Q302" s="32">
        <v>300</v>
      </c>
      <c r="R302" s="32">
        <v>120</v>
      </c>
      <c r="S302" s="32">
        <v>120</v>
      </c>
      <c r="T302" s="32">
        <v>60</v>
      </c>
      <c r="U302" s="32"/>
      <c r="V302" s="32"/>
      <c r="W302" s="32"/>
      <c r="X302">
        <f t="shared" si="9"/>
        <v>3</v>
      </c>
      <c r="BK302" s="32">
        <v>300</v>
      </c>
      <c r="BL302">
        <v>15</v>
      </c>
      <c r="BM302">
        <v>3</v>
      </c>
    </row>
    <row r="303" spans="1:65" x14ac:dyDescent="0.45">
      <c r="A303" s="33"/>
      <c r="B303" s="32">
        <v>1</v>
      </c>
      <c r="C303" s="32">
        <v>301</v>
      </c>
      <c r="D303" s="32">
        <v>60</v>
      </c>
      <c r="E303" s="32">
        <v>60</v>
      </c>
      <c r="F303" s="32">
        <v>48</v>
      </c>
      <c r="G303" s="32">
        <v>48</v>
      </c>
      <c r="H303" s="32">
        <v>48</v>
      </c>
      <c r="I303" s="32">
        <v>48</v>
      </c>
      <c r="J303" s="32"/>
      <c r="K303" s="32"/>
      <c r="L303" s="32"/>
      <c r="M303" s="39"/>
      <c r="N303" s="43">
        <f t="shared" si="8"/>
        <v>6</v>
      </c>
      <c r="O303" s="33"/>
      <c r="P303" s="32">
        <v>1</v>
      </c>
      <c r="Q303" s="32">
        <v>301</v>
      </c>
      <c r="R303" s="32">
        <v>120</v>
      </c>
      <c r="S303" s="32">
        <v>96</v>
      </c>
      <c r="T303" s="32">
        <v>96</v>
      </c>
      <c r="U303" s="32"/>
      <c r="V303" s="32"/>
      <c r="W303" s="32"/>
      <c r="X303">
        <f t="shared" si="9"/>
        <v>3</v>
      </c>
      <c r="BK303" s="32">
        <v>301</v>
      </c>
      <c r="BL303">
        <v>15</v>
      </c>
      <c r="BM303">
        <v>3</v>
      </c>
    </row>
    <row r="304" spans="1:65" x14ac:dyDescent="0.45">
      <c r="A304" s="33"/>
      <c r="B304" s="32">
        <v>2</v>
      </c>
      <c r="C304" s="32">
        <v>302</v>
      </c>
      <c r="D304" s="32">
        <v>60</v>
      </c>
      <c r="E304" s="32">
        <v>60</v>
      </c>
      <c r="F304" s="32">
        <v>48</v>
      </c>
      <c r="G304" s="32">
        <v>48</v>
      </c>
      <c r="H304" s="32">
        <v>48</v>
      </c>
      <c r="I304" s="32">
        <v>48</v>
      </c>
      <c r="J304" s="32"/>
      <c r="K304" s="32"/>
      <c r="L304" s="32"/>
      <c r="M304" s="39"/>
      <c r="N304" s="43">
        <f t="shared" si="8"/>
        <v>6</v>
      </c>
      <c r="O304" s="33"/>
      <c r="P304" s="32">
        <v>2</v>
      </c>
      <c r="Q304" s="32">
        <v>302</v>
      </c>
      <c r="R304" s="32">
        <v>120</v>
      </c>
      <c r="S304" s="32">
        <v>96</v>
      </c>
      <c r="T304" s="32">
        <v>96</v>
      </c>
      <c r="U304" s="32"/>
      <c r="V304" s="32"/>
      <c r="W304" s="32"/>
      <c r="X304">
        <f t="shared" si="9"/>
        <v>3</v>
      </c>
      <c r="BK304" s="32">
        <v>302</v>
      </c>
      <c r="BL304">
        <v>15</v>
      </c>
      <c r="BM304">
        <v>3</v>
      </c>
    </row>
    <row r="305" spans="1:65" x14ac:dyDescent="0.45">
      <c r="A305" s="33"/>
      <c r="B305" s="32">
        <v>3</v>
      </c>
      <c r="C305" s="32">
        <v>303</v>
      </c>
      <c r="D305" s="32">
        <v>60</v>
      </c>
      <c r="E305" s="32">
        <v>60</v>
      </c>
      <c r="F305" s="32">
        <v>48</v>
      </c>
      <c r="G305" s="32">
        <v>48</v>
      </c>
      <c r="H305" s="32">
        <v>48</v>
      </c>
      <c r="I305" s="32">
        <v>48</v>
      </c>
      <c r="J305" s="32"/>
      <c r="K305" s="32"/>
      <c r="L305" s="32"/>
      <c r="M305" s="39"/>
      <c r="N305" s="43">
        <f t="shared" si="8"/>
        <v>6</v>
      </c>
      <c r="O305" s="33"/>
      <c r="P305" s="32">
        <v>3</v>
      </c>
      <c r="Q305" s="32">
        <v>303</v>
      </c>
      <c r="R305" s="32">
        <v>120</v>
      </c>
      <c r="S305" s="32">
        <v>96</v>
      </c>
      <c r="T305" s="32">
        <v>96</v>
      </c>
      <c r="U305" s="32"/>
      <c r="V305" s="32"/>
      <c r="W305" s="32"/>
      <c r="X305">
        <f t="shared" si="9"/>
        <v>3</v>
      </c>
      <c r="BK305" s="32">
        <v>303</v>
      </c>
      <c r="BL305">
        <v>15</v>
      </c>
      <c r="BM305">
        <v>3</v>
      </c>
    </row>
    <row r="306" spans="1:65" x14ac:dyDescent="0.45">
      <c r="A306" s="33"/>
      <c r="B306" s="32">
        <v>4</v>
      </c>
      <c r="C306" s="32">
        <v>304</v>
      </c>
      <c r="D306" s="32">
        <v>60</v>
      </c>
      <c r="E306" s="32">
        <v>60</v>
      </c>
      <c r="F306" s="32">
        <v>48</v>
      </c>
      <c r="G306" s="32">
        <v>48</v>
      </c>
      <c r="H306" s="32">
        <v>48</v>
      </c>
      <c r="I306" s="32">
        <v>48</v>
      </c>
      <c r="J306" s="32"/>
      <c r="K306" s="32"/>
      <c r="L306" s="32"/>
      <c r="M306" s="39"/>
      <c r="N306" s="43">
        <f t="shared" si="8"/>
        <v>6</v>
      </c>
      <c r="O306" s="33"/>
      <c r="P306" s="32">
        <v>4</v>
      </c>
      <c r="Q306" s="32">
        <v>304</v>
      </c>
      <c r="R306" s="32">
        <v>120</v>
      </c>
      <c r="S306" s="32">
        <v>96</v>
      </c>
      <c r="T306" s="32">
        <v>96</v>
      </c>
      <c r="U306" s="32"/>
      <c r="V306" s="32"/>
      <c r="W306" s="32"/>
      <c r="X306">
        <f t="shared" si="9"/>
        <v>3</v>
      </c>
      <c r="BK306" s="32">
        <v>304</v>
      </c>
      <c r="BL306">
        <v>15</v>
      </c>
      <c r="BM306">
        <v>3</v>
      </c>
    </row>
    <row r="307" spans="1:65" x14ac:dyDescent="0.45">
      <c r="A307" s="33"/>
      <c r="B307" s="32">
        <v>5</v>
      </c>
      <c r="C307" s="32">
        <v>305</v>
      </c>
      <c r="D307" s="32">
        <v>60</v>
      </c>
      <c r="E307" s="32">
        <v>60</v>
      </c>
      <c r="F307" s="32">
        <v>48</v>
      </c>
      <c r="G307" s="32">
        <v>48</v>
      </c>
      <c r="H307" s="32">
        <v>48</v>
      </c>
      <c r="I307" s="32">
        <v>48</v>
      </c>
      <c r="J307" s="32"/>
      <c r="K307" s="32"/>
      <c r="L307" s="32"/>
      <c r="M307" s="39"/>
      <c r="N307" s="43">
        <f t="shared" si="8"/>
        <v>6</v>
      </c>
      <c r="O307" s="33"/>
      <c r="P307" s="32">
        <v>5</v>
      </c>
      <c r="Q307" s="32">
        <v>305</v>
      </c>
      <c r="R307" s="32">
        <v>120</v>
      </c>
      <c r="S307" s="32">
        <v>96</v>
      </c>
      <c r="T307" s="32">
        <v>96</v>
      </c>
      <c r="U307" s="32"/>
      <c r="V307" s="32"/>
      <c r="W307" s="32"/>
      <c r="X307">
        <f t="shared" si="9"/>
        <v>3</v>
      </c>
      <c r="BK307" s="32">
        <v>305</v>
      </c>
      <c r="BL307">
        <v>15</v>
      </c>
      <c r="BM307">
        <v>3</v>
      </c>
    </row>
    <row r="308" spans="1:65" x14ac:dyDescent="0.45">
      <c r="A308" s="33"/>
      <c r="B308" s="32">
        <v>6</v>
      </c>
      <c r="C308" s="32">
        <v>306</v>
      </c>
      <c r="D308" s="32">
        <v>60</v>
      </c>
      <c r="E308" s="32">
        <v>60</v>
      </c>
      <c r="F308" s="32">
        <v>48</v>
      </c>
      <c r="G308" s="32">
        <v>48</v>
      </c>
      <c r="H308" s="32">
        <v>48</v>
      </c>
      <c r="I308" s="32">
        <v>48</v>
      </c>
      <c r="J308" s="32"/>
      <c r="K308" s="32"/>
      <c r="L308" s="32"/>
      <c r="M308" s="39"/>
      <c r="N308" s="43">
        <f t="shared" si="8"/>
        <v>6</v>
      </c>
      <c r="O308" s="33"/>
      <c r="P308" s="32">
        <v>6</v>
      </c>
      <c r="Q308" s="32">
        <v>306</v>
      </c>
      <c r="R308" s="32">
        <v>120</v>
      </c>
      <c r="S308" s="32">
        <v>96</v>
      </c>
      <c r="T308" s="32">
        <v>96</v>
      </c>
      <c r="U308" s="32"/>
      <c r="V308" s="32"/>
      <c r="W308" s="32"/>
      <c r="X308">
        <f t="shared" si="9"/>
        <v>3</v>
      </c>
      <c r="BK308" s="32">
        <v>306</v>
      </c>
      <c r="BL308">
        <v>15</v>
      </c>
      <c r="BM308">
        <v>3</v>
      </c>
    </row>
    <row r="309" spans="1:65" x14ac:dyDescent="0.45">
      <c r="A309" s="33"/>
      <c r="B309" s="32">
        <v>7</v>
      </c>
      <c r="C309" s="32">
        <v>307</v>
      </c>
      <c r="D309" s="32">
        <v>60</v>
      </c>
      <c r="E309" s="32">
        <v>60</v>
      </c>
      <c r="F309" s="32">
        <v>48</v>
      </c>
      <c r="G309" s="32">
        <v>48</v>
      </c>
      <c r="H309" s="32">
        <v>48</v>
      </c>
      <c r="I309" s="32">
        <v>48</v>
      </c>
      <c r="J309" s="32"/>
      <c r="K309" s="32"/>
      <c r="L309" s="32"/>
      <c r="M309" s="39"/>
      <c r="N309" s="43">
        <f t="shared" si="8"/>
        <v>6</v>
      </c>
      <c r="O309" s="33"/>
      <c r="P309" s="32">
        <v>7</v>
      </c>
      <c r="Q309" s="32">
        <v>307</v>
      </c>
      <c r="R309" s="32">
        <v>120</v>
      </c>
      <c r="S309" s="32">
        <v>96</v>
      </c>
      <c r="T309" s="32">
        <v>96</v>
      </c>
      <c r="U309" s="32"/>
      <c r="V309" s="32"/>
      <c r="W309" s="32"/>
      <c r="X309">
        <f t="shared" si="9"/>
        <v>3</v>
      </c>
      <c r="BK309" s="32">
        <v>307</v>
      </c>
      <c r="BL309">
        <v>15</v>
      </c>
      <c r="BM309">
        <v>3</v>
      </c>
    </row>
    <row r="310" spans="1:65" x14ac:dyDescent="0.45">
      <c r="A310" s="33"/>
      <c r="B310" s="32">
        <v>8</v>
      </c>
      <c r="C310" s="32">
        <v>308</v>
      </c>
      <c r="D310" s="32">
        <v>60</v>
      </c>
      <c r="E310" s="32">
        <v>60</v>
      </c>
      <c r="F310" s="32">
        <v>48</v>
      </c>
      <c r="G310" s="32">
        <v>48</v>
      </c>
      <c r="H310" s="32">
        <v>48</v>
      </c>
      <c r="I310" s="32">
        <v>48</v>
      </c>
      <c r="J310" s="32"/>
      <c r="K310" s="32"/>
      <c r="L310" s="32"/>
      <c r="M310" s="39"/>
      <c r="N310" s="43">
        <f t="shared" si="8"/>
        <v>6</v>
      </c>
      <c r="O310" s="33"/>
      <c r="P310" s="32">
        <v>8</v>
      </c>
      <c r="Q310" s="32">
        <v>308</v>
      </c>
      <c r="R310" s="32">
        <v>120</v>
      </c>
      <c r="S310" s="32">
        <v>96</v>
      </c>
      <c r="T310" s="32">
        <v>96</v>
      </c>
      <c r="U310" s="32"/>
      <c r="V310" s="32"/>
      <c r="W310" s="32"/>
      <c r="X310">
        <f t="shared" si="9"/>
        <v>3</v>
      </c>
      <c r="BK310" s="32">
        <v>308</v>
      </c>
      <c r="BL310">
        <v>15</v>
      </c>
      <c r="BM310">
        <v>3</v>
      </c>
    </row>
    <row r="311" spans="1:65" x14ac:dyDescent="0.45">
      <c r="A311" s="33"/>
      <c r="B311" s="32">
        <v>9</v>
      </c>
      <c r="C311" s="32">
        <v>309</v>
      </c>
      <c r="D311" s="32">
        <v>60</v>
      </c>
      <c r="E311" s="32">
        <v>60</v>
      </c>
      <c r="F311" s="32">
        <v>48</v>
      </c>
      <c r="G311" s="32">
        <v>48</v>
      </c>
      <c r="H311" s="32">
        <v>48</v>
      </c>
      <c r="I311" s="32">
        <v>48</v>
      </c>
      <c r="J311" s="32"/>
      <c r="K311" s="32"/>
      <c r="L311" s="32"/>
      <c r="M311" s="39"/>
      <c r="N311" s="43">
        <f t="shared" si="8"/>
        <v>6</v>
      </c>
      <c r="O311" s="33"/>
      <c r="P311" s="32">
        <v>9</v>
      </c>
      <c r="Q311" s="32">
        <v>309</v>
      </c>
      <c r="R311" s="32">
        <v>120</v>
      </c>
      <c r="S311" s="32">
        <v>96</v>
      </c>
      <c r="T311" s="32">
        <v>96</v>
      </c>
      <c r="U311" s="32"/>
      <c r="V311" s="32"/>
      <c r="W311" s="32"/>
      <c r="X311">
        <f t="shared" si="9"/>
        <v>3</v>
      </c>
      <c r="BK311" s="32">
        <v>309</v>
      </c>
      <c r="BL311">
        <v>15</v>
      </c>
      <c r="BM311">
        <v>3</v>
      </c>
    </row>
    <row r="312" spans="1:65" x14ac:dyDescent="0.45">
      <c r="A312" s="33"/>
      <c r="B312" s="32">
        <v>10</v>
      </c>
      <c r="C312" s="32">
        <v>310</v>
      </c>
      <c r="D312" s="32">
        <v>60</v>
      </c>
      <c r="E312" s="32">
        <v>60</v>
      </c>
      <c r="F312" s="32">
        <v>48</v>
      </c>
      <c r="G312" s="32">
        <v>48</v>
      </c>
      <c r="H312" s="32">
        <v>48</v>
      </c>
      <c r="I312" s="32">
        <v>48</v>
      </c>
      <c r="J312" s="32"/>
      <c r="K312" s="32"/>
      <c r="L312" s="32"/>
      <c r="M312" s="39"/>
      <c r="N312" s="43">
        <f t="shared" si="8"/>
        <v>6</v>
      </c>
      <c r="O312" s="33"/>
      <c r="P312" s="32">
        <v>10</v>
      </c>
      <c r="Q312" s="32">
        <v>310</v>
      </c>
      <c r="R312" s="32">
        <v>120</v>
      </c>
      <c r="S312" s="32">
        <v>96</v>
      </c>
      <c r="T312" s="32">
        <v>96</v>
      </c>
      <c r="U312" s="32"/>
      <c r="V312" s="32"/>
      <c r="W312" s="32"/>
      <c r="X312">
        <f t="shared" si="9"/>
        <v>3</v>
      </c>
      <c r="BK312" s="32">
        <v>310</v>
      </c>
      <c r="BL312">
        <v>15</v>
      </c>
      <c r="BM312">
        <v>3</v>
      </c>
    </row>
    <row r="313" spans="1:65" x14ac:dyDescent="0.45">
      <c r="A313" s="33"/>
      <c r="B313" s="32">
        <v>11</v>
      </c>
      <c r="C313" s="32">
        <v>311</v>
      </c>
      <c r="D313" s="32">
        <v>60</v>
      </c>
      <c r="E313" s="32">
        <v>60</v>
      </c>
      <c r="F313" s="32">
        <v>48</v>
      </c>
      <c r="G313" s="32">
        <v>48</v>
      </c>
      <c r="H313" s="32">
        <v>48</v>
      </c>
      <c r="I313" s="32">
        <v>48</v>
      </c>
      <c r="J313" s="32"/>
      <c r="K313" s="32"/>
      <c r="L313" s="32"/>
      <c r="M313" s="39"/>
      <c r="N313" s="43">
        <f t="shared" si="8"/>
        <v>6</v>
      </c>
      <c r="O313" s="33"/>
      <c r="P313" s="32">
        <v>11</v>
      </c>
      <c r="Q313" s="32">
        <v>311</v>
      </c>
      <c r="R313" s="32">
        <v>120</v>
      </c>
      <c r="S313" s="32">
        <v>96</v>
      </c>
      <c r="T313" s="32">
        <v>96</v>
      </c>
      <c r="U313" s="32"/>
      <c r="V313" s="32"/>
      <c r="W313" s="32"/>
      <c r="X313">
        <f t="shared" si="9"/>
        <v>3</v>
      </c>
      <c r="BK313" s="32">
        <v>311</v>
      </c>
      <c r="BL313">
        <v>15</v>
      </c>
      <c r="BM313">
        <v>3</v>
      </c>
    </row>
    <row r="314" spans="1:65" x14ac:dyDescent="0.45">
      <c r="A314" s="33">
        <v>26</v>
      </c>
      <c r="B314" s="32"/>
      <c r="C314" s="32">
        <v>312</v>
      </c>
      <c r="D314" s="32">
        <v>60</v>
      </c>
      <c r="E314" s="32">
        <v>60</v>
      </c>
      <c r="F314" s="32">
        <v>48</v>
      </c>
      <c r="G314" s="32">
        <v>48</v>
      </c>
      <c r="H314" s="32">
        <v>48</v>
      </c>
      <c r="I314" s="32">
        <v>48</v>
      </c>
      <c r="J314" s="32"/>
      <c r="K314" s="32"/>
      <c r="L314" s="32"/>
      <c r="M314" s="39"/>
      <c r="N314" s="43">
        <f t="shared" si="8"/>
        <v>6</v>
      </c>
      <c r="O314" s="33">
        <v>26</v>
      </c>
      <c r="P314" s="32"/>
      <c r="Q314" s="32">
        <v>312</v>
      </c>
      <c r="R314" s="32">
        <v>120</v>
      </c>
      <c r="S314" s="32">
        <v>96</v>
      </c>
      <c r="T314" s="32">
        <v>96</v>
      </c>
      <c r="U314" s="32"/>
      <c r="V314" s="32"/>
      <c r="W314" s="32"/>
      <c r="X314">
        <f t="shared" si="9"/>
        <v>3</v>
      </c>
      <c r="BK314" s="32">
        <v>312</v>
      </c>
      <c r="BL314">
        <v>15</v>
      </c>
      <c r="BM314">
        <v>3</v>
      </c>
    </row>
    <row r="315" spans="1:65" x14ac:dyDescent="0.45">
      <c r="A315" s="33"/>
      <c r="B315" s="32">
        <v>1</v>
      </c>
      <c r="C315" s="32">
        <v>313</v>
      </c>
      <c r="D315" s="32">
        <v>60</v>
      </c>
      <c r="E315" s="32">
        <v>60</v>
      </c>
      <c r="F315" s="32">
        <v>60</v>
      </c>
      <c r="G315" s="32">
        <v>48</v>
      </c>
      <c r="H315" s="32">
        <v>48</v>
      </c>
      <c r="I315" s="32">
        <v>48</v>
      </c>
      <c r="J315" s="32"/>
      <c r="K315" s="32"/>
      <c r="L315" s="32"/>
      <c r="M315" s="39"/>
      <c r="N315" s="43">
        <f t="shared" si="8"/>
        <v>6</v>
      </c>
      <c r="O315" s="33"/>
      <c r="P315" s="32">
        <v>1</v>
      </c>
      <c r="Q315" s="32">
        <v>313</v>
      </c>
      <c r="R315" s="32">
        <v>120</v>
      </c>
      <c r="S315" s="32">
        <v>96</v>
      </c>
      <c r="T315" s="32">
        <v>60</v>
      </c>
      <c r="U315" s="32">
        <v>48</v>
      </c>
      <c r="V315" s="32"/>
      <c r="W315" s="32"/>
      <c r="X315">
        <f t="shared" si="9"/>
        <v>4</v>
      </c>
      <c r="BK315" s="32">
        <v>313</v>
      </c>
      <c r="BL315">
        <v>15</v>
      </c>
      <c r="BM315">
        <v>3</v>
      </c>
    </row>
    <row r="316" spans="1:65" x14ac:dyDescent="0.45">
      <c r="A316" s="33"/>
      <c r="B316" s="32">
        <v>2</v>
      </c>
      <c r="C316" s="32">
        <v>314</v>
      </c>
      <c r="D316" s="32">
        <v>60</v>
      </c>
      <c r="E316" s="32">
        <v>60</v>
      </c>
      <c r="F316" s="32">
        <v>60</v>
      </c>
      <c r="G316" s="32">
        <v>48</v>
      </c>
      <c r="H316" s="32">
        <v>48</v>
      </c>
      <c r="I316" s="32">
        <v>48</v>
      </c>
      <c r="J316" s="32"/>
      <c r="K316" s="32"/>
      <c r="L316" s="32"/>
      <c r="M316" s="39"/>
      <c r="N316" s="43">
        <f t="shared" si="8"/>
        <v>6</v>
      </c>
      <c r="O316" s="33"/>
      <c r="P316" s="32">
        <v>2</v>
      </c>
      <c r="Q316" s="32">
        <v>314</v>
      </c>
      <c r="R316" s="32">
        <v>120</v>
      </c>
      <c r="S316" s="32">
        <v>96</v>
      </c>
      <c r="T316" s="32">
        <v>60</v>
      </c>
      <c r="U316" s="32">
        <v>48</v>
      </c>
      <c r="V316" s="32"/>
      <c r="W316" s="32"/>
      <c r="X316">
        <f t="shared" si="9"/>
        <v>4</v>
      </c>
      <c r="BK316" s="32">
        <v>314</v>
      </c>
      <c r="BL316">
        <v>15</v>
      </c>
      <c r="BM316">
        <v>3</v>
      </c>
    </row>
    <row r="317" spans="1:65" x14ac:dyDescent="0.45">
      <c r="A317" s="33"/>
      <c r="B317" s="32">
        <v>3</v>
      </c>
      <c r="C317" s="32">
        <v>315</v>
      </c>
      <c r="D317" s="32">
        <v>60</v>
      </c>
      <c r="E317" s="32">
        <v>60</v>
      </c>
      <c r="F317" s="32">
        <v>60</v>
      </c>
      <c r="G317" s="32">
        <v>48</v>
      </c>
      <c r="H317" s="32">
        <v>48</v>
      </c>
      <c r="I317" s="32">
        <v>48</v>
      </c>
      <c r="J317" s="32"/>
      <c r="K317" s="32"/>
      <c r="L317" s="32"/>
      <c r="M317" s="39"/>
      <c r="N317" s="43">
        <f t="shared" si="8"/>
        <v>6</v>
      </c>
      <c r="O317" s="33"/>
      <c r="P317" s="32">
        <v>3</v>
      </c>
      <c r="Q317" s="32">
        <v>315</v>
      </c>
      <c r="R317" s="32">
        <v>120</v>
      </c>
      <c r="S317" s="32">
        <v>96</v>
      </c>
      <c r="T317" s="32">
        <v>60</v>
      </c>
      <c r="U317" s="32">
        <v>48</v>
      </c>
      <c r="V317" s="32"/>
      <c r="W317" s="32"/>
      <c r="X317">
        <f t="shared" si="9"/>
        <v>4</v>
      </c>
      <c r="BK317" s="32">
        <v>315</v>
      </c>
      <c r="BL317">
        <v>15</v>
      </c>
      <c r="BM317">
        <v>3</v>
      </c>
    </row>
    <row r="318" spans="1:65" x14ac:dyDescent="0.45">
      <c r="A318" s="33"/>
      <c r="B318" s="32">
        <v>4</v>
      </c>
      <c r="C318" s="32">
        <v>316</v>
      </c>
      <c r="D318" s="32">
        <v>60</v>
      </c>
      <c r="E318" s="32">
        <v>60</v>
      </c>
      <c r="F318" s="32">
        <v>60</v>
      </c>
      <c r="G318" s="32">
        <v>48</v>
      </c>
      <c r="H318" s="32">
        <v>48</v>
      </c>
      <c r="I318" s="32">
        <v>48</v>
      </c>
      <c r="J318" s="32"/>
      <c r="K318" s="32"/>
      <c r="L318" s="32"/>
      <c r="M318" s="39"/>
      <c r="N318" s="43">
        <f t="shared" si="8"/>
        <v>6</v>
      </c>
      <c r="O318" s="33"/>
      <c r="P318" s="32">
        <v>4</v>
      </c>
      <c r="Q318" s="32">
        <v>316</v>
      </c>
      <c r="R318" s="32">
        <v>120</v>
      </c>
      <c r="S318" s="32">
        <v>96</v>
      </c>
      <c r="T318" s="32">
        <v>60</v>
      </c>
      <c r="U318" s="32">
        <v>48</v>
      </c>
      <c r="V318" s="32"/>
      <c r="W318" s="32"/>
      <c r="X318">
        <f t="shared" si="9"/>
        <v>4</v>
      </c>
      <c r="BK318" s="32">
        <v>316</v>
      </c>
      <c r="BL318">
        <v>15</v>
      </c>
      <c r="BM318">
        <v>3</v>
      </c>
    </row>
    <row r="319" spans="1:65" x14ac:dyDescent="0.45">
      <c r="A319" s="33"/>
      <c r="B319" s="32">
        <v>5</v>
      </c>
      <c r="C319" s="32">
        <v>317</v>
      </c>
      <c r="D319" s="32">
        <v>60</v>
      </c>
      <c r="E319" s="32">
        <v>60</v>
      </c>
      <c r="F319" s="32">
        <v>60</v>
      </c>
      <c r="G319" s="32">
        <v>48</v>
      </c>
      <c r="H319" s="32">
        <v>48</v>
      </c>
      <c r="I319" s="32">
        <v>48</v>
      </c>
      <c r="J319" s="32"/>
      <c r="K319" s="32"/>
      <c r="L319" s="32"/>
      <c r="M319" s="39"/>
      <c r="N319" s="43">
        <f t="shared" si="8"/>
        <v>6</v>
      </c>
      <c r="O319" s="33"/>
      <c r="P319" s="32">
        <v>5</v>
      </c>
      <c r="Q319" s="32">
        <v>317</v>
      </c>
      <c r="R319" s="32">
        <v>120</v>
      </c>
      <c r="S319" s="32">
        <v>96</v>
      </c>
      <c r="T319" s="32">
        <v>60</v>
      </c>
      <c r="U319" s="32">
        <v>48</v>
      </c>
      <c r="V319" s="32"/>
      <c r="W319" s="32"/>
      <c r="X319">
        <f t="shared" si="9"/>
        <v>4</v>
      </c>
      <c r="BK319" s="32">
        <v>317</v>
      </c>
      <c r="BL319">
        <v>15</v>
      </c>
      <c r="BM319">
        <v>3</v>
      </c>
    </row>
    <row r="320" spans="1:65" x14ac:dyDescent="0.45">
      <c r="A320" s="33"/>
      <c r="B320" s="32">
        <v>6</v>
      </c>
      <c r="C320" s="32">
        <v>318</v>
      </c>
      <c r="D320" s="32">
        <v>60</v>
      </c>
      <c r="E320" s="32">
        <v>60</v>
      </c>
      <c r="F320" s="32">
        <v>60</v>
      </c>
      <c r="G320" s="32">
        <v>48</v>
      </c>
      <c r="H320" s="32">
        <v>48</v>
      </c>
      <c r="I320" s="32">
        <v>48</v>
      </c>
      <c r="J320" s="32"/>
      <c r="K320" s="32"/>
      <c r="L320" s="32"/>
      <c r="M320" s="39"/>
      <c r="N320" s="43">
        <f t="shared" si="8"/>
        <v>6</v>
      </c>
      <c r="O320" s="33"/>
      <c r="P320" s="32">
        <v>6</v>
      </c>
      <c r="Q320" s="32">
        <v>318</v>
      </c>
      <c r="R320" s="32">
        <v>120</v>
      </c>
      <c r="S320" s="32">
        <v>96</v>
      </c>
      <c r="T320" s="32">
        <v>60</v>
      </c>
      <c r="U320" s="32">
        <v>48</v>
      </c>
      <c r="V320" s="32"/>
      <c r="W320" s="32"/>
      <c r="X320">
        <f t="shared" si="9"/>
        <v>4</v>
      </c>
      <c r="BK320" s="32">
        <v>318</v>
      </c>
      <c r="BL320">
        <v>15</v>
      </c>
      <c r="BM320">
        <v>3</v>
      </c>
    </row>
    <row r="321" spans="1:65" x14ac:dyDescent="0.45">
      <c r="A321" s="33"/>
      <c r="B321" s="32">
        <v>7</v>
      </c>
      <c r="C321" s="32">
        <v>319</v>
      </c>
      <c r="D321" s="32">
        <v>60</v>
      </c>
      <c r="E321" s="32">
        <v>60</v>
      </c>
      <c r="F321" s="32">
        <v>60</v>
      </c>
      <c r="G321" s="32">
        <v>48</v>
      </c>
      <c r="H321" s="32">
        <v>48</v>
      </c>
      <c r="I321" s="32">
        <v>48</v>
      </c>
      <c r="J321" s="32"/>
      <c r="K321" s="32"/>
      <c r="L321" s="32"/>
      <c r="M321" s="39"/>
      <c r="N321" s="43">
        <f t="shared" si="8"/>
        <v>6</v>
      </c>
      <c r="O321" s="33"/>
      <c r="P321" s="32">
        <v>7</v>
      </c>
      <c r="Q321" s="32">
        <v>319</v>
      </c>
      <c r="R321" s="32">
        <v>120</v>
      </c>
      <c r="S321" s="32">
        <v>96</v>
      </c>
      <c r="T321" s="32">
        <v>60</v>
      </c>
      <c r="U321" s="32">
        <v>48</v>
      </c>
      <c r="V321" s="32"/>
      <c r="W321" s="32"/>
      <c r="X321">
        <f t="shared" si="9"/>
        <v>4</v>
      </c>
      <c r="BK321" s="32">
        <v>319</v>
      </c>
      <c r="BL321">
        <v>15</v>
      </c>
      <c r="BM321">
        <v>3</v>
      </c>
    </row>
    <row r="322" spans="1:65" x14ac:dyDescent="0.45">
      <c r="A322" s="33"/>
      <c r="B322" s="32">
        <v>8</v>
      </c>
      <c r="C322" s="32">
        <v>320</v>
      </c>
      <c r="D322" s="32">
        <v>60</v>
      </c>
      <c r="E322" s="32">
        <v>60</v>
      </c>
      <c r="F322" s="32">
        <v>60</v>
      </c>
      <c r="G322" s="32">
        <v>48</v>
      </c>
      <c r="H322" s="32">
        <v>48</v>
      </c>
      <c r="I322" s="32">
        <v>48</v>
      </c>
      <c r="J322" s="32"/>
      <c r="K322" s="32"/>
      <c r="L322" s="32"/>
      <c r="M322" s="39"/>
      <c r="N322" s="43">
        <f t="shared" si="8"/>
        <v>6</v>
      </c>
      <c r="O322" s="33"/>
      <c r="P322" s="32">
        <v>8</v>
      </c>
      <c r="Q322" s="32">
        <v>320</v>
      </c>
      <c r="R322" s="32">
        <v>120</v>
      </c>
      <c r="S322" s="32">
        <v>96</v>
      </c>
      <c r="T322" s="32">
        <v>60</v>
      </c>
      <c r="U322" s="32">
        <v>48</v>
      </c>
      <c r="V322" s="32"/>
      <c r="W322" s="32"/>
      <c r="X322">
        <f t="shared" si="9"/>
        <v>4</v>
      </c>
      <c r="BK322" s="32">
        <v>320</v>
      </c>
      <c r="BL322">
        <v>15</v>
      </c>
      <c r="BM322">
        <v>3</v>
      </c>
    </row>
    <row r="323" spans="1:65" x14ac:dyDescent="0.45">
      <c r="A323" s="33"/>
      <c r="B323" s="32">
        <v>9</v>
      </c>
      <c r="C323" s="32">
        <v>321</v>
      </c>
      <c r="D323" s="32">
        <v>60</v>
      </c>
      <c r="E323" s="32">
        <v>60</v>
      </c>
      <c r="F323" s="32">
        <v>60</v>
      </c>
      <c r="G323" s="32">
        <v>48</v>
      </c>
      <c r="H323" s="32">
        <v>48</v>
      </c>
      <c r="I323" s="32">
        <v>48</v>
      </c>
      <c r="J323" s="32"/>
      <c r="K323" s="32"/>
      <c r="L323" s="32"/>
      <c r="M323" s="39"/>
      <c r="N323" s="43">
        <f t="shared" si="8"/>
        <v>6</v>
      </c>
      <c r="O323" s="33"/>
      <c r="P323" s="32">
        <v>9</v>
      </c>
      <c r="Q323" s="32">
        <v>321</v>
      </c>
      <c r="R323" s="32">
        <v>120</v>
      </c>
      <c r="S323" s="32">
        <v>96</v>
      </c>
      <c r="T323" s="32">
        <v>60</v>
      </c>
      <c r="U323" s="32">
        <v>48</v>
      </c>
      <c r="V323" s="32"/>
      <c r="W323" s="32"/>
      <c r="X323">
        <f t="shared" si="9"/>
        <v>4</v>
      </c>
      <c r="BK323" s="32">
        <v>321</v>
      </c>
      <c r="BL323">
        <v>15</v>
      </c>
      <c r="BM323">
        <v>3</v>
      </c>
    </row>
    <row r="324" spans="1:65" x14ac:dyDescent="0.45">
      <c r="A324" s="33"/>
      <c r="B324" s="32">
        <v>10</v>
      </c>
      <c r="C324" s="32">
        <v>322</v>
      </c>
      <c r="D324" s="32">
        <v>60</v>
      </c>
      <c r="E324" s="32">
        <v>60</v>
      </c>
      <c r="F324" s="32">
        <v>60</v>
      </c>
      <c r="G324" s="32">
        <v>48</v>
      </c>
      <c r="H324" s="32">
        <v>48</v>
      </c>
      <c r="I324" s="32">
        <v>48</v>
      </c>
      <c r="J324" s="32"/>
      <c r="K324" s="32"/>
      <c r="L324" s="32"/>
      <c r="M324" s="39"/>
      <c r="N324" s="43">
        <f t="shared" ref="N324:N387" si="10">COUNT(D324:M324)</f>
        <v>6</v>
      </c>
      <c r="O324" s="33"/>
      <c r="P324" s="32">
        <v>10</v>
      </c>
      <c r="Q324" s="32">
        <v>322</v>
      </c>
      <c r="R324" s="32">
        <v>120</v>
      </c>
      <c r="S324" s="32">
        <v>96</v>
      </c>
      <c r="T324" s="32">
        <v>60</v>
      </c>
      <c r="U324" s="32">
        <v>48</v>
      </c>
      <c r="V324" s="32"/>
      <c r="W324" s="32"/>
      <c r="X324">
        <f t="shared" ref="X324:X387" si="11">COUNT(R324:W324)</f>
        <v>4</v>
      </c>
      <c r="BK324" s="32">
        <v>322</v>
      </c>
      <c r="BL324">
        <v>15</v>
      </c>
      <c r="BM324">
        <v>3</v>
      </c>
    </row>
    <row r="325" spans="1:65" x14ac:dyDescent="0.45">
      <c r="A325" s="33"/>
      <c r="B325" s="32">
        <v>11</v>
      </c>
      <c r="C325" s="32">
        <v>323</v>
      </c>
      <c r="D325" s="32">
        <v>60</v>
      </c>
      <c r="E325" s="32">
        <v>60</v>
      </c>
      <c r="F325" s="32">
        <v>60</v>
      </c>
      <c r="G325" s="32">
        <v>48</v>
      </c>
      <c r="H325" s="32">
        <v>48</v>
      </c>
      <c r="I325" s="32">
        <v>48</v>
      </c>
      <c r="J325" s="32"/>
      <c r="K325" s="32"/>
      <c r="L325" s="32"/>
      <c r="M325" s="39"/>
      <c r="N325" s="43">
        <f t="shared" si="10"/>
        <v>6</v>
      </c>
      <c r="O325" s="33"/>
      <c r="P325" s="32">
        <v>11</v>
      </c>
      <c r="Q325" s="32">
        <v>323</v>
      </c>
      <c r="R325" s="32">
        <v>120</v>
      </c>
      <c r="S325" s="32">
        <v>96</v>
      </c>
      <c r="T325" s="32">
        <v>60</v>
      </c>
      <c r="U325" s="32">
        <v>48</v>
      </c>
      <c r="V325" s="32"/>
      <c r="W325" s="32"/>
      <c r="X325">
        <f t="shared" si="11"/>
        <v>4</v>
      </c>
      <c r="BK325" s="32">
        <v>323</v>
      </c>
      <c r="BL325">
        <v>15</v>
      </c>
      <c r="BM325">
        <v>3</v>
      </c>
    </row>
    <row r="326" spans="1:65" x14ac:dyDescent="0.45">
      <c r="A326" s="33">
        <v>27</v>
      </c>
      <c r="B326" s="32"/>
      <c r="C326" s="32">
        <v>324</v>
      </c>
      <c r="D326" s="32">
        <v>60</v>
      </c>
      <c r="E326" s="32">
        <v>60</v>
      </c>
      <c r="F326" s="32">
        <v>60</v>
      </c>
      <c r="G326" s="32">
        <v>48</v>
      </c>
      <c r="H326" s="32">
        <v>48</v>
      </c>
      <c r="I326" s="32">
        <v>48</v>
      </c>
      <c r="J326" s="32"/>
      <c r="K326" s="32"/>
      <c r="L326" s="32"/>
      <c r="M326" s="39"/>
      <c r="N326" s="43">
        <f t="shared" si="10"/>
        <v>6</v>
      </c>
      <c r="O326" s="33">
        <v>27</v>
      </c>
      <c r="P326" s="32"/>
      <c r="Q326" s="32">
        <v>324</v>
      </c>
      <c r="R326" s="32">
        <v>120</v>
      </c>
      <c r="S326" s="32">
        <v>96</v>
      </c>
      <c r="T326" s="32">
        <v>60</v>
      </c>
      <c r="U326" s="32">
        <v>48</v>
      </c>
      <c r="V326" s="32"/>
      <c r="W326" s="32"/>
      <c r="X326">
        <f t="shared" si="11"/>
        <v>4</v>
      </c>
      <c r="BK326" s="32">
        <v>324</v>
      </c>
      <c r="BL326">
        <v>15</v>
      </c>
      <c r="BM326">
        <v>3</v>
      </c>
    </row>
    <row r="327" spans="1:65" x14ac:dyDescent="0.45">
      <c r="A327" s="33"/>
      <c r="B327" s="32">
        <v>1</v>
      </c>
      <c r="C327" s="32">
        <v>325</v>
      </c>
      <c r="D327" s="32">
        <v>60</v>
      </c>
      <c r="E327" s="32">
        <v>60</v>
      </c>
      <c r="F327" s="32">
        <v>60</v>
      </c>
      <c r="G327" s="32">
        <v>60</v>
      </c>
      <c r="H327" s="32">
        <v>48</v>
      </c>
      <c r="I327" s="32">
        <v>48</v>
      </c>
      <c r="J327" s="32"/>
      <c r="K327" s="32"/>
      <c r="L327" s="32"/>
      <c r="M327" s="39"/>
      <c r="N327" s="43">
        <f t="shared" si="10"/>
        <v>6</v>
      </c>
      <c r="O327" s="33"/>
      <c r="P327" s="32">
        <v>1</v>
      </c>
      <c r="Q327" s="32">
        <v>325</v>
      </c>
      <c r="R327" s="32">
        <v>120</v>
      </c>
      <c r="S327" s="32">
        <v>120</v>
      </c>
      <c r="T327" s="32">
        <v>96</v>
      </c>
      <c r="U327" s="32"/>
      <c r="V327" s="32"/>
      <c r="W327" s="32"/>
      <c r="X327">
        <f t="shared" si="11"/>
        <v>3</v>
      </c>
      <c r="BK327" s="32">
        <v>325</v>
      </c>
      <c r="BL327">
        <v>15</v>
      </c>
      <c r="BM327">
        <v>3</v>
      </c>
    </row>
    <row r="328" spans="1:65" x14ac:dyDescent="0.45">
      <c r="A328" s="33"/>
      <c r="B328" s="32">
        <v>2</v>
      </c>
      <c r="C328" s="32">
        <v>326</v>
      </c>
      <c r="D328" s="32">
        <v>60</v>
      </c>
      <c r="E328" s="32">
        <v>60</v>
      </c>
      <c r="F328" s="32">
        <v>60</v>
      </c>
      <c r="G328" s="32">
        <v>60</v>
      </c>
      <c r="H328" s="32">
        <v>48</v>
      </c>
      <c r="I328" s="32">
        <v>48</v>
      </c>
      <c r="J328" s="32"/>
      <c r="K328" s="32"/>
      <c r="L328" s="32"/>
      <c r="M328" s="39"/>
      <c r="N328" s="43">
        <f t="shared" si="10"/>
        <v>6</v>
      </c>
      <c r="O328" s="33"/>
      <c r="P328" s="32">
        <v>2</v>
      </c>
      <c r="Q328" s="32">
        <v>326</v>
      </c>
      <c r="R328" s="32">
        <v>120</v>
      </c>
      <c r="S328" s="32">
        <v>120</v>
      </c>
      <c r="T328" s="32">
        <v>96</v>
      </c>
      <c r="U328" s="32"/>
      <c r="V328" s="32"/>
      <c r="W328" s="32"/>
      <c r="X328">
        <f t="shared" si="11"/>
        <v>3</v>
      </c>
      <c r="BK328" s="32">
        <v>326</v>
      </c>
      <c r="BL328">
        <v>15</v>
      </c>
      <c r="BM328">
        <v>3</v>
      </c>
    </row>
    <row r="329" spans="1:65" x14ac:dyDescent="0.45">
      <c r="A329" s="33"/>
      <c r="B329" s="32">
        <v>3</v>
      </c>
      <c r="C329" s="32">
        <v>327</v>
      </c>
      <c r="D329" s="32">
        <v>60</v>
      </c>
      <c r="E329" s="32">
        <v>60</v>
      </c>
      <c r="F329" s="32">
        <v>60</v>
      </c>
      <c r="G329" s="32">
        <v>60</v>
      </c>
      <c r="H329" s="32">
        <v>48</v>
      </c>
      <c r="I329" s="32">
        <v>48</v>
      </c>
      <c r="J329" s="32"/>
      <c r="K329" s="32"/>
      <c r="L329" s="32"/>
      <c r="M329" s="39"/>
      <c r="N329" s="43">
        <f t="shared" si="10"/>
        <v>6</v>
      </c>
      <c r="O329" s="33"/>
      <c r="P329" s="32">
        <v>3</v>
      </c>
      <c r="Q329" s="32">
        <v>327</v>
      </c>
      <c r="R329" s="32">
        <v>120</v>
      </c>
      <c r="S329" s="32">
        <v>120</v>
      </c>
      <c r="T329" s="32">
        <v>96</v>
      </c>
      <c r="U329" s="32"/>
      <c r="V329" s="32"/>
      <c r="W329" s="32"/>
      <c r="X329">
        <f t="shared" si="11"/>
        <v>3</v>
      </c>
      <c r="BK329" s="32">
        <v>327</v>
      </c>
      <c r="BL329">
        <v>15</v>
      </c>
      <c r="BM329">
        <v>3</v>
      </c>
    </row>
    <row r="330" spans="1:65" x14ac:dyDescent="0.45">
      <c r="A330" s="33"/>
      <c r="B330" s="32">
        <v>4</v>
      </c>
      <c r="C330" s="32">
        <v>328</v>
      </c>
      <c r="D330" s="32">
        <v>60</v>
      </c>
      <c r="E330" s="32">
        <v>60</v>
      </c>
      <c r="F330" s="32">
        <v>60</v>
      </c>
      <c r="G330" s="32">
        <v>60</v>
      </c>
      <c r="H330" s="32">
        <v>48</v>
      </c>
      <c r="I330" s="32">
        <v>48</v>
      </c>
      <c r="J330" s="32"/>
      <c r="K330" s="32"/>
      <c r="L330" s="32"/>
      <c r="M330" s="39"/>
      <c r="N330" s="43">
        <f t="shared" si="10"/>
        <v>6</v>
      </c>
      <c r="O330" s="33"/>
      <c r="P330" s="32">
        <v>4</v>
      </c>
      <c r="Q330" s="32">
        <v>328</v>
      </c>
      <c r="R330" s="32">
        <v>120</v>
      </c>
      <c r="S330" s="32">
        <v>120</v>
      </c>
      <c r="T330" s="32">
        <v>96</v>
      </c>
      <c r="U330" s="32"/>
      <c r="V330" s="32"/>
      <c r="W330" s="32"/>
      <c r="X330">
        <f t="shared" si="11"/>
        <v>3</v>
      </c>
      <c r="BK330" s="32">
        <v>328</v>
      </c>
      <c r="BL330">
        <v>15</v>
      </c>
      <c r="BM330">
        <v>3</v>
      </c>
    </row>
    <row r="331" spans="1:65" x14ac:dyDescent="0.45">
      <c r="A331" s="33"/>
      <c r="B331" s="32">
        <v>5</v>
      </c>
      <c r="C331" s="32">
        <v>329</v>
      </c>
      <c r="D331" s="32">
        <v>60</v>
      </c>
      <c r="E331" s="32">
        <v>60</v>
      </c>
      <c r="F331" s="32">
        <v>60</v>
      </c>
      <c r="G331" s="32">
        <v>60</v>
      </c>
      <c r="H331" s="32">
        <v>48</v>
      </c>
      <c r="I331" s="32">
        <v>48</v>
      </c>
      <c r="J331" s="32"/>
      <c r="K331" s="32"/>
      <c r="L331" s="32"/>
      <c r="M331" s="39"/>
      <c r="N331" s="43">
        <f t="shared" si="10"/>
        <v>6</v>
      </c>
      <c r="O331" s="33"/>
      <c r="P331" s="32">
        <v>5</v>
      </c>
      <c r="Q331" s="32">
        <v>329</v>
      </c>
      <c r="R331" s="32">
        <v>120</v>
      </c>
      <c r="S331" s="32">
        <v>120</v>
      </c>
      <c r="T331" s="32">
        <v>96</v>
      </c>
      <c r="U331" s="32"/>
      <c r="V331" s="32"/>
      <c r="W331" s="32"/>
      <c r="X331">
        <f t="shared" si="11"/>
        <v>3</v>
      </c>
      <c r="BK331" s="32">
        <v>329</v>
      </c>
      <c r="BL331">
        <v>15</v>
      </c>
      <c r="BM331">
        <v>3</v>
      </c>
    </row>
    <row r="332" spans="1:65" x14ac:dyDescent="0.45">
      <c r="A332" s="33"/>
      <c r="B332" s="32">
        <v>6</v>
      </c>
      <c r="C332" s="32">
        <v>330</v>
      </c>
      <c r="D332" s="32">
        <v>60</v>
      </c>
      <c r="E332" s="32">
        <v>60</v>
      </c>
      <c r="F332" s="32">
        <v>60</v>
      </c>
      <c r="G332" s="32">
        <v>60</v>
      </c>
      <c r="H332" s="32">
        <v>48</v>
      </c>
      <c r="I332" s="32">
        <v>48</v>
      </c>
      <c r="J332" s="32"/>
      <c r="K332" s="32"/>
      <c r="L332" s="32"/>
      <c r="M332" s="39"/>
      <c r="N332" s="43">
        <f t="shared" si="10"/>
        <v>6</v>
      </c>
      <c r="O332" s="33"/>
      <c r="P332" s="32">
        <v>6</v>
      </c>
      <c r="Q332" s="32">
        <v>330</v>
      </c>
      <c r="R332" s="32">
        <v>120</v>
      </c>
      <c r="S332" s="32">
        <v>120</v>
      </c>
      <c r="T332" s="32">
        <v>96</v>
      </c>
      <c r="U332" s="32"/>
      <c r="V332" s="32"/>
      <c r="W332" s="32"/>
      <c r="X332">
        <f t="shared" si="11"/>
        <v>3</v>
      </c>
      <c r="BK332" s="32">
        <v>330</v>
      </c>
      <c r="BL332">
        <v>15</v>
      </c>
      <c r="BM332">
        <v>3</v>
      </c>
    </row>
    <row r="333" spans="1:65" x14ac:dyDescent="0.45">
      <c r="A333" s="33"/>
      <c r="B333" s="32">
        <v>7</v>
      </c>
      <c r="C333" s="32">
        <v>331</v>
      </c>
      <c r="D333" s="32">
        <v>60</v>
      </c>
      <c r="E333" s="32">
        <v>60</v>
      </c>
      <c r="F333" s="32">
        <v>60</v>
      </c>
      <c r="G333" s="32">
        <v>60</v>
      </c>
      <c r="H333" s="32">
        <v>48</v>
      </c>
      <c r="I333" s="32">
        <v>48</v>
      </c>
      <c r="J333" s="32"/>
      <c r="K333" s="32"/>
      <c r="L333" s="32"/>
      <c r="M333" s="39"/>
      <c r="N333" s="43">
        <f t="shared" si="10"/>
        <v>6</v>
      </c>
      <c r="O333" s="33"/>
      <c r="P333" s="32">
        <v>7</v>
      </c>
      <c r="Q333" s="32">
        <v>331</v>
      </c>
      <c r="R333" s="32">
        <v>120</v>
      </c>
      <c r="S333" s="32">
        <v>120</v>
      </c>
      <c r="T333" s="32">
        <v>96</v>
      </c>
      <c r="U333" s="32"/>
      <c r="V333" s="32"/>
      <c r="W333" s="32"/>
      <c r="X333">
        <f t="shared" si="11"/>
        <v>3</v>
      </c>
      <c r="BK333" s="32">
        <v>331</v>
      </c>
      <c r="BL333">
        <v>15</v>
      </c>
      <c r="BM333">
        <v>3</v>
      </c>
    </row>
    <row r="334" spans="1:65" x14ac:dyDescent="0.45">
      <c r="A334" s="33"/>
      <c r="B334" s="32">
        <v>8</v>
      </c>
      <c r="C334" s="32">
        <v>332</v>
      </c>
      <c r="D334" s="32">
        <v>60</v>
      </c>
      <c r="E334" s="32">
        <v>60</v>
      </c>
      <c r="F334" s="32">
        <v>60</v>
      </c>
      <c r="G334" s="32">
        <v>60</v>
      </c>
      <c r="H334" s="32">
        <v>48</v>
      </c>
      <c r="I334" s="32">
        <v>48</v>
      </c>
      <c r="J334" s="32"/>
      <c r="K334" s="32"/>
      <c r="L334" s="32"/>
      <c r="M334" s="39"/>
      <c r="N334" s="43">
        <f t="shared" si="10"/>
        <v>6</v>
      </c>
      <c r="O334" s="33"/>
      <c r="P334" s="32">
        <v>8</v>
      </c>
      <c r="Q334" s="32">
        <v>332</v>
      </c>
      <c r="R334" s="32">
        <v>120</v>
      </c>
      <c r="S334" s="32">
        <v>120</v>
      </c>
      <c r="T334" s="32">
        <v>96</v>
      </c>
      <c r="U334" s="32"/>
      <c r="V334" s="32"/>
      <c r="W334" s="32"/>
      <c r="X334">
        <f t="shared" si="11"/>
        <v>3</v>
      </c>
      <c r="BK334" s="32">
        <v>332</v>
      </c>
      <c r="BL334">
        <v>15</v>
      </c>
      <c r="BM334">
        <v>3</v>
      </c>
    </row>
    <row r="335" spans="1:65" x14ac:dyDescent="0.45">
      <c r="A335" s="33"/>
      <c r="B335" s="32">
        <v>9</v>
      </c>
      <c r="C335" s="32">
        <v>333</v>
      </c>
      <c r="D335" s="32">
        <v>60</v>
      </c>
      <c r="E335" s="32">
        <v>60</v>
      </c>
      <c r="F335" s="32">
        <v>60</v>
      </c>
      <c r="G335" s="32">
        <v>60</v>
      </c>
      <c r="H335" s="32">
        <v>48</v>
      </c>
      <c r="I335" s="32">
        <v>48</v>
      </c>
      <c r="J335" s="32"/>
      <c r="K335" s="32"/>
      <c r="L335" s="32"/>
      <c r="M335" s="39"/>
      <c r="N335" s="43">
        <f t="shared" si="10"/>
        <v>6</v>
      </c>
      <c r="O335" s="33"/>
      <c r="P335" s="32">
        <v>9</v>
      </c>
      <c r="Q335" s="32">
        <v>333</v>
      </c>
      <c r="R335" s="32">
        <v>120</v>
      </c>
      <c r="S335" s="32">
        <v>120</v>
      </c>
      <c r="T335" s="32">
        <v>96</v>
      </c>
      <c r="U335" s="32"/>
      <c r="V335" s="32"/>
      <c r="W335" s="32"/>
      <c r="X335">
        <f t="shared" si="11"/>
        <v>3</v>
      </c>
      <c r="BK335" s="32">
        <v>333</v>
      </c>
      <c r="BL335">
        <v>15</v>
      </c>
      <c r="BM335">
        <v>3</v>
      </c>
    </row>
    <row r="336" spans="1:65" x14ac:dyDescent="0.45">
      <c r="A336" s="33"/>
      <c r="B336" s="32">
        <v>10</v>
      </c>
      <c r="C336" s="32">
        <v>334</v>
      </c>
      <c r="D336" s="32">
        <v>60</v>
      </c>
      <c r="E336" s="32">
        <v>60</v>
      </c>
      <c r="F336" s="32">
        <v>60</v>
      </c>
      <c r="G336" s="32">
        <v>60</v>
      </c>
      <c r="H336" s="32">
        <v>48</v>
      </c>
      <c r="I336" s="32">
        <v>48</v>
      </c>
      <c r="J336" s="32"/>
      <c r="K336" s="32"/>
      <c r="L336" s="32"/>
      <c r="M336" s="39"/>
      <c r="N336" s="43">
        <f t="shared" si="10"/>
        <v>6</v>
      </c>
      <c r="O336" s="33"/>
      <c r="P336" s="32">
        <v>10</v>
      </c>
      <c r="Q336" s="32">
        <v>334</v>
      </c>
      <c r="R336" s="32">
        <v>120</v>
      </c>
      <c r="S336" s="32">
        <v>120</v>
      </c>
      <c r="T336" s="32">
        <v>96</v>
      </c>
      <c r="U336" s="32"/>
      <c r="V336" s="32"/>
      <c r="W336" s="32"/>
      <c r="X336">
        <f t="shared" si="11"/>
        <v>3</v>
      </c>
      <c r="BK336" s="32">
        <v>334</v>
      </c>
      <c r="BL336">
        <v>15</v>
      </c>
      <c r="BM336">
        <v>3</v>
      </c>
    </row>
    <row r="337" spans="1:65" x14ac:dyDescent="0.45">
      <c r="A337" s="33"/>
      <c r="B337" s="32">
        <v>11</v>
      </c>
      <c r="C337" s="32">
        <v>335</v>
      </c>
      <c r="D337" s="32">
        <v>60</v>
      </c>
      <c r="E337" s="32">
        <v>60</v>
      </c>
      <c r="F337" s="32">
        <v>60</v>
      </c>
      <c r="G337" s="32">
        <v>60</v>
      </c>
      <c r="H337" s="32">
        <v>48</v>
      </c>
      <c r="I337" s="32">
        <v>48</v>
      </c>
      <c r="J337" s="32"/>
      <c r="K337" s="32"/>
      <c r="L337" s="32"/>
      <c r="M337" s="39"/>
      <c r="N337" s="43">
        <f t="shared" si="10"/>
        <v>6</v>
      </c>
      <c r="O337" s="33"/>
      <c r="P337" s="32">
        <v>11</v>
      </c>
      <c r="Q337" s="32">
        <v>335</v>
      </c>
      <c r="R337" s="32">
        <v>120</v>
      </c>
      <c r="S337" s="32">
        <v>120</v>
      </c>
      <c r="T337" s="32">
        <v>96</v>
      </c>
      <c r="U337" s="32"/>
      <c r="V337" s="32"/>
      <c r="W337" s="32"/>
      <c r="X337">
        <f t="shared" si="11"/>
        <v>3</v>
      </c>
      <c r="BK337" s="32">
        <v>335</v>
      </c>
      <c r="BL337">
        <v>15</v>
      </c>
      <c r="BM337">
        <v>3</v>
      </c>
    </row>
    <row r="338" spans="1:65" x14ac:dyDescent="0.45">
      <c r="A338" s="33">
        <v>28</v>
      </c>
      <c r="B338" s="32"/>
      <c r="C338" s="32">
        <v>336</v>
      </c>
      <c r="D338" s="32">
        <v>60</v>
      </c>
      <c r="E338" s="32">
        <v>60</v>
      </c>
      <c r="F338" s="32">
        <v>60</v>
      </c>
      <c r="G338" s="32">
        <v>60</v>
      </c>
      <c r="H338" s="32">
        <v>48</v>
      </c>
      <c r="I338" s="32">
        <v>48</v>
      </c>
      <c r="J338" s="32"/>
      <c r="K338" s="32"/>
      <c r="L338" s="32"/>
      <c r="M338" s="39"/>
      <c r="N338" s="43">
        <f t="shared" si="10"/>
        <v>6</v>
      </c>
      <c r="O338" s="33">
        <v>28</v>
      </c>
      <c r="P338" s="32"/>
      <c r="Q338" s="32">
        <v>336</v>
      </c>
      <c r="R338" s="32">
        <v>120</v>
      </c>
      <c r="S338" s="32">
        <v>120</v>
      </c>
      <c r="T338" s="32">
        <v>96</v>
      </c>
      <c r="U338" s="32"/>
      <c r="V338" s="32"/>
      <c r="W338" s="32"/>
      <c r="X338">
        <f t="shared" si="11"/>
        <v>3</v>
      </c>
      <c r="BK338" s="32">
        <v>336</v>
      </c>
      <c r="BL338">
        <v>15</v>
      </c>
      <c r="BM338">
        <v>3</v>
      </c>
    </row>
    <row r="339" spans="1:65" x14ac:dyDescent="0.45">
      <c r="A339" s="33"/>
      <c r="B339" s="32">
        <v>1</v>
      </c>
      <c r="C339" s="32">
        <v>337</v>
      </c>
      <c r="D339" s="32">
        <v>60</v>
      </c>
      <c r="E339" s="32">
        <v>60</v>
      </c>
      <c r="F339" s="32">
        <v>60</v>
      </c>
      <c r="G339" s="32">
        <v>60</v>
      </c>
      <c r="H339" s="32">
        <v>60</v>
      </c>
      <c r="I339" s="32">
        <v>48</v>
      </c>
      <c r="J339" s="32"/>
      <c r="K339" s="32"/>
      <c r="L339" s="32"/>
      <c r="M339" s="39"/>
      <c r="N339" s="43">
        <f t="shared" si="10"/>
        <v>6</v>
      </c>
      <c r="O339" s="33"/>
      <c r="P339" s="32">
        <v>1</v>
      </c>
      <c r="Q339" s="32">
        <v>337</v>
      </c>
      <c r="R339" s="32">
        <v>120</v>
      </c>
      <c r="S339" s="32">
        <v>120</v>
      </c>
      <c r="T339" s="32">
        <v>60</v>
      </c>
      <c r="U339" s="32">
        <v>48</v>
      </c>
      <c r="V339" s="32"/>
      <c r="W339" s="32"/>
      <c r="X339">
        <f t="shared" si="11"/>
        <v>4</v>
      </c>
      <c r="BK339" s="32">
        <v>337</v>
      </c>
      <c r="BL339">
        <v>15</v>
      </c>
      <c r="BM339">
        <v>3</v>
      </c>
    </row>
    <row r="340" spans="1:65" x14ac:dyDescent="0.45">
      <c r="A340" s="33"/>
      <c r="B340" s="32">
        <v>2</v>
      </c>
      <c r="C340" s="32">
        <v>338</v>
      </c>
      <c r="D340" s="32">
        <v>60</v>
      </c>
      <c r="E340" s="32">
        <v>60</v>
      </c>
      <c r="F340" s="32">
        <v>60</v>
      </c>
      <c r="G340" s="32">
        <v>60</v>
      </c>
      <c r="H340" s="32">
        <v>60</v>
      </c>
      <c r="I340" s="32">
        <v>48</v>
      </c>
      <c r="J340" s="32"/>
      <c r="K340" s="32"/>
      <c r="L340" s="32"/>
      <c r="M340" s="39"/>
      <c r="N340" s="43">
        <f t="shared" si="10"/>
        <v>6</v>
      </c>
      <c r="O340" s="33"/>
      <c r="P340" s="32">
        <v>2</v>
      </c>
      <c r="Q340" s="32">
        <v>338</v>
      </c>
      <c r="R340" s="32">
        <v>120</v>
      </c>
      <c r="S340" s="32">
        <v>120</v>
      </c>
      <c r="T340" s="32">
        <v>60</v>
      </c>
      <c r="U340" s="32">
        <v>48</v>
      </c>
      <c r="V340" s="32"/>
      <c r="W340" s="32"/>
      <c r="X340">
        <f t="shared" si="11"/>
        <v>4</v>
      </c>
      <c r="BK340" s="32">
        <v>338</v>
      </c>
      <c r="BL340">
        <v>15</v>
      </c>
      <c r="BM340">
        <v>3</v>
      </c>
    </row>
    <row r="341" spans="1:65" x14ac:dyDescent="0.45">
      <c r="A341" s="33"/>
      <c r="B341" s="32">
        <v>3</v>
      </c>
      <c r="C341" s="32">
        <v>339</v>
      </c>
      <c r="D341" s="32">
        <v>60</v>
      </c>
      <c r="E341" s="32">
        <v>60</v>
      </c>
      <c r="F341" s="32">
        <v>60</v>
      </c>
      <c r="G341" s="32">
        <v>60</v>
      </c>
      <c r="H341" s="32">
        <v>60</v>
      </c>
      <c r="I341" s="32">
        <v>48</v>
      </c>
      <c r="J341" s="32"/>
      <c r="K341" s="32"/>
      <c r="L341" s="32"/>
      <c r="M341" s="39"/>
      <c r="N341" s="43">
        <f t="shared" si="10"/>
        <v>6</v>
      </c>
      <c r="O341" s="33"/>
      <c r="P341" s="32">
        <v>3</v>
      </c>
      <c r="Q341" s="32">
        <v>339</v>
      </c>
      <c r="R341" s="32">
        <v>120</v>
      </c>
      <c r="S341" s="32">
        <v>120</v>
      </c>
      <c r="T341" s="32">
        <v>60</v>
      </c>
      <c r="U341" s="32">
        <v>48</v>
      </c>
      <c r="V341" s="32"/>
      <c r="W341" s="32"/>
      <c r="X341">
        <f t="shared" si="11"/>
        <v>4</v>
      </c>
      <c r="BK341" s="32">
        <v>339</v>
      </c>
      <c r="BL341">
        <v>15</v>
      </c>
      <c r="BM341">
        <v>3</v>
      </c>
    </row>
    <row r="342" spans="1:65" x14ac:dyDescent="0.45">
      <c r="A342" s="33"/>
      <c r="B342" s="32">
        <v>4</v>
      </c>
      <c r="C342" s="32">
        <v>340</v>
      </c>
      <c r="D342" s="32">
        <v>60</v>
      </c>
      <c r="E342" s="32">
        <v>60</v>
      </c>
      <c r="F342" s="32">
        <v>60</v>
      </c>
      <c r="G342" s="32">
        <v>60</v>
      </c>
      <c r="H342" s="32">
        <v>60</v>
      </c>
      <c r="I342" s="32">
        <v>48</v>
      </c>
      <c r="J342" s="32"/>
      <c r="K342" s="32"/>
      <c r="L342" s="32"/>
      <c r="M342" s="39"/>
      <c r="N342" s="43">
        <f t="shared" si="10"/>
        <v>6</v>
      </c>
      <c r="O342" s="33"/>
      <c r="P342" s="32">
        <v>4</v>
      </c>
      <c r="Q342" s="32">
        <v>340</v>
      </c>
      <c r="R342" s="32">
        <v>120</v>
      </c>
      <c r="S342" s="32">
        <v>120</v>
      </c>
      <c r="T342" s="32">
        <v>60</v>
      </c>
      <c r="U342" s="32">
        <v>48</v>
      </c>
      <c r="V342" s="32"/>
      <c r="W342" s="32"/>
      <c r="X342">
        <f t="shared" si="11"/>
        <v>4</v>
      </c>
      <c r="BK342" s="32">
        <v>340</v>
      </c>
      <c r="BL342">
        <v>15</v>
      </c>
      <c r="BM342">
        <v>3</v>
      </c>
    </row>
    <row r="343" spans="1:65" x14ac:dyDescent="0.45">
      <c r="A343" s="33"/>
      <c r="B343" s="32">
        <v>5</v>
      </c>
      <c r="C343" s="32">
        <v>341</v>
      </c>
      <c r="D343" s="32">
        <v>60</v>
      </c>
      <c r="E343" s="32">
        <v>60</v>
      </c>
      <c r="F343" s="32">
        <v>60</v>
      </c>
      <c r="G343" s="32">
        <v>60</v>
      </c>
      <c r="H343" s="32">
        <v>60</v>
      </c>
      <c r="I343" s="32">
        <v>48</v>
      </c>
      <c r="J343" s="32"/>
      <c r="K343" s="32"/>
      <c r="L343" s="32"/>
      <c r="M343" s="39"/>
      <c r="N343" s="43">
        <f t="shared" si="10"/>
        <v>6</v>
      </c>
      <c r="O343" s="33"/>
      <c r="P343" s="32">
        <v>5</v>
      </c>
      <c r="Q343" s="32">
        <v>341</v>
      </c>
      <c r="R343" s="32">
        <v>120</v>
      </c>
      <c r="S343" s="32">
        <v>120</v>
      </c>
      <c r="T343" s="32">
        <v>60</v>
      </c>
      <c r="U343" s="32">
        <v>48</v>
      </c>
      <c r="V343" s="32"/>
      <c r="W343" s="32"/>
      <c r="X343">
        <f t="shared" si="11"/>
        <v>4</v>
      </c>
      <c r="BK343" s="32">
        <v>341</v>
      </c>
      <c r="BL343">
        <v>15</v>
      </c>
      <c r="BM343">
        <v>3</v>
      </c>
    </row>
    <row r="344" spans="1:65" x14ac:dyDescent="0.45">
      <c r="A344" s="33"/>
      <c r="B344" s="32">
        <v>6</v>
      </c>
      <c r="C344" s="32">
        <v>342</v>
      </c>
      <c r="D344" s="32">
        <v>60</v>
      </c>
      <c r="E344" s="32">
        <v>60</v>
      </c>
      <c r="F344" s="32">
        <v>60</v>
      </c>
      <c r="G344" s="32">
        <v>60</v>
      </c>
      <c r="H344" s="32">
        <v>60</v>
      </c>
      <c r="I344" s="32">
        <v>48</v>
      </c>
      <c r="J344" s="32"/>
      <c r="K344" s="32"/>
      <c r="L344" s="32"/>
      <c r="M344" s="39"/>
      <c r="N344" s="43">
        <f t="shared" si="10"/>
        <v>6</v>
      </c>
      <c r="O344" s="33"/>
      <c r="P344" s="32">
        <v>6</v>
      </c>
      <c r="Q344" s="32">
        <v>342</v>
      </c>
      <c r="R344" s="32">
        <v>120</v>
      </c>
      <c r="S344" s="32">
        <v>120</v>
      </c>
      <c r="T344" s="32">
        <v>60</v>
      </c>
      <c r="U344" s="32">
        <v>48</v>
      </c>
      <c r="V344" s="32"/>
      <c r="W344" s="32"/>
      <c r="X344">
        <f t="shared" si="11"/>
        <v>4</v>
      </c>
      <c r="BK344" s="32">
        <v>342</v>
      </c>
      <c r="BL344">
        <v>15</v>
      </c>
      <c r="BM344">
        <v>3</v>
      </c>
    </row>
    <row r="345" spans="1:65" x14ac:dyDescent="0.45">
      <c r="A345" s="33"/>
      <c r="B345" s="32">
        <v>7</v>
      </c>
      <c r="C345" s="32">
        <v>343</v>
      </c>
      <c r="D345" s="32">
        <v>60</v>
      </c>
      <c r="E345" s="32">
        <v>60</v>
      </c>
      <c r="F345" s="32">
        <v>60</v>
      </c>
      <c r="G345" s="32">
        <v>60</v>
      </c>
      <c r="H345" s="32">
        <v>60</v>
      </c>
      <c r="I345" s="32">
        <v>48</v>
      </c>
      <c r="J345" s="32"/>
      <c r="K345" s="32"/>
      <c r="L345" s="32"/>
      <c r="M345" s="39"/>
      <c r="N345" s="43">
        <f t="shared" si="10"/>
        <v>6</v>
      </c>
      <c r="O345" s="33"/>
      <c r="P345" s="32">
        <v>7</v>
      </c>
      <c r="Q345" s="32">
        <v>343</v>
      </c>
      <c r="R345" s="32">
        <v>120</v>
      </c>
      <c r="S345" s="32">
        <v>120</v>
      </c>
      <c r="T345" s="32">
        <v>60</v>
      </c>
      <c r="U345" s="32">
        <v>48</v>
      </c>
      <c r="V345" s="32"/>
      <c r="W345" s="32"/>
      <c r="X345">
        <f t="shared" si="11"/>
        <v>4</v>
      </c>
      <c r="BK345" s="32">
        <v>343</v>
      </c>
      <c r="BL345">
        <v>15</v>
      </c>
      <c r="BM345">
        <v>3</v>
      </c>
    </row>
    <row r="346" spans="1:65" x14ac:dyDescent="0.45">
      <c r="A346" s="33"/>
      <c r="B346" s="32">
        <v>8</v>
      </c>
      <c r="C346" s="32">
        <v>344</v>
      </c>
      <c r="D346" s="32">
        <v>60</v>
      </c>
      <c r="E346" s="32">
        <v>60</v>
      </c>
      <c r="F346" s="32">
        <v>60</v>
      </c>
      <c r="G346" s="32">
        <v>60</v>
      </c>
      <c r="H346" s="32">
        <v>60</v>
      </c>
      <c r="I346" s="32">
        <v>48</v>
      </c>
      <c r="J346" s="32"/>
      <c r="K346" s="32"/>
      <c r="L346" s="32"/>
      <c r="M346" s="39"/>
      <c r="N346" s="43">
        <f t="shared" si="10"/>
        <v>6</v>
      </c>
      <c r="O346" s="33"/>
      <c r="P346" s="32">
        <v>8</v>
      </c>
      <c r="Q346" s="32">
        <v>344</v>
      </c>
      <c r="R346" s="32">
        <v>120</v>
      </c>
      <c r="S346" s="32">
        <v>120</v>
      </c>
      <c r="T346" s="32">
        <v>60</v>
      </c>
      <c r="U346" s="32">
        <v>48</v>
      </c>
      <c r="V346" s="32"/>
      <c r="W346" s="32"/>
      <c r="X346">
        <f t="shared" si="11"/>
        <v>4</v>
      </c>
      <c r="BK346" s="32">
        <v>344</v>
      </c>
      <c r="BL346">
        <v>15</v>
      </c>
      <c r="BM346">
        <v>3</v>
      </c>
    </row>
    <row r="347" spans="1:65" x14ac:dyDescent="0.45">
      <c r="A347" s="33"/>
      <c r="B347" s="32">
        <v>9</v>
      </c>
      <c r="C347" s="32">
        <v>345</v>
      </c>
      <c r="D347" s="32">
        <v>60</v>
      </c>
      <c r="E347" s="32">
        <v>60</v>
      </c>
      <c r="F347" s="32">
        <v>60</v>
      </c>
      <c r="G347" s="32">
        <v>60</v>
      </c>
      <c r="H347" s="32">
        <v>60</v>
      </c>
      <c r="I347" s="32">
        <v>48</v>
      </c>
      <c r="J347" s="32"/>
      <c r="K347" s="32"/>
      <c r="L347" s="32"/>
      <c r="M347" s="39"/>
      <c r="N347" s="43">
        <f t="shared" si="10"/>
        <v>6</v>
      </c>
      <c r="O347" s="33"/>
      <c r="P347" s="32">
        <v>9</v>
      </c>
      <c r="Q347" s="32">
        <v>345</v>
      </c>
      <c r="R347" s="32">
        <v>120</v>
      </c>
      <c r="S347" s="32">
        <v>120</v>
      </c>
      <c r="T347" s="32">
        <v>60</v>
      </c>
      <c r="U347" s="32">
        <v>48</v>
      </c>
      <c r="V347" s="32"/>
      <c r="W347" s="32"/>
      <c r="X347">
        <f t="shared" si="11"/>
        <v>4</v>
      </c>
      <c r="BK347" s="32">
        <v>345</v>
      </c>
      <c r="BL347">
        <v>15</v>
      </c>
      <c r="BM347">
        <v>3</v>
      </c>
    </row>
    <row r="348" spans="1:65" x14ac:dyDescent="0.45">
      <c r="A348" s="33"/>
      <c r="B348" s="32">
        <v>10</v>
      </c>
      <c r="C348" s="32">
        <v>346</v>
      </c>
      <c r="D348" s="32">
        <v>60</v>
      </c>
      <c r="E348" s="32">
        <v>60</v>
      </c>
      <c r="F348" s="32">
        <v>60</v>
      </c>
      <c r="G348" s="32">
        <v>60</v>
      </c>
      <c r="H348" s="32">
        <v>60</v>
      </c>
      <c r="I348" s="32">
        <v>48</v>
      </c>
      <c r="J348" s="32"/>
      <c r="K348" s="32"/>
      <c r="L348" s="32"/>
      <c r="M348" s="39"/>
      <c r="N348" s="43">
        <f t="shared" si="10"/>
        <v>6</v>
      </c>
      <c r="O348" s="33"/>
      <c r="P348" s="32">
        <v>10</v>
      </c>
      <c r="Q348" s="32">
        <v>346</v>
      </c>
      <c r="R348" s="32">
        <v>120</v>
      </c>
      <c r="S348" s="32">
        <v>120</v>
      </c>
      <c r="T348" s="32">
        <v>60</v>
      </c>
      <c r="U348" s="32">
        <v>48</v>
      </c>
      <c r="V348" s="32"/>
      <c r="W348" s="32"/>
      <c r="X348">
        <f t="shared" si="11"/>
        <v>4</v>
      </c>
      <c r="BK348" s="32">
        <v>346</v>
      </c>
      <c r="BL348">
        <v>15</v>
      </c>
      <c r="BM348">
        <v>3</v>
      </c>
    </row>
    <row r="349" spans="1:65" x14ac:dyDescent="0.45">
      <c r="A349" s="33"/>
      <c r="B349" s="32">
        <v>11</v>
      </c>
      <c r="C349" s="32">
        <v>347</v>
      </c>
      <c r="D349" s="32">
        <v>60</v>
      </c>
      <c r="E349" s="32">
        <v>60</v>
      </c>
      <c r="F349" s="32">
        <v>60</v>
      </c>
      <c r="G349" s="32">
        <v>60</v>
      </c>
      <c r="H349" s="32">
        <v>60</v>
      </c>
      <c r="I349" s="32">
        <v>48</v>
      </c>
      <c r="J349" s="32"/>
      <c r="K349" s="32"/>
      <c r="L349" s="32"/>
      <c r="M349" s="39"/>
      <c r="N349" s="43">
        <f t="shared" si="10"/>
        <v>6</v>
      </c>
      <c r="O349" s="33"/>
      <c r="P349" s="32">
        <v>11</v>
      </c>
      <c r="Q349" s="32">
        <v>347</v>
      </c>
      <c r="R349" s="32">
        <v>120</v>
      </c>
      <c r="S349" s="32">
        <v>120</v>
      </c>
      <c r="T349" s="32">
        <v>60</v>
      </c>
      <c r="U349" s="32">
        <v>48</v>
      </c>
      <c r="V349" s="32"/>
      <c r="W349" s="32"/>
      <c r="X349">
        <f t="shared" si="11"/>
        <v>4</v>
      </c>
      <c r="BK349" s="32">
        <v>347</v>
      </c>
      <c r="BL349">
        <v>15</v>
      </c>
      <c r="BM349">
        <v>3</v>
      </c>
    </row>
    <row r="350" spans="1:65" x14ac:dyDescent="0.45">
      <c r="A350" s="33">
        <v>29</v>
      </c>
      <c r="B350" s="32"/>
      <c r="C350" s="32">
        <v>348</v>
      </c>
      <c r="D350" s="32">
        <v>60</v>
      </c>
      <c r="E350" s="32">
        <v>60</v>
      </c>
      <c r="F350" s="32">
        <v>60</v>
      </c>
      <c r="G350" s="32">
        <v>60</v>
      </c>
      <c r="H350" s="32">
        <v>60</v>
      </c>
      <c r="I350" s="32">
        <v>48</v>
      </c>
      <c r="J350" s="32"/>
      <c r="K350" s="32"/>
      <c r="L350" s="32"/>
      <c r="M350" s="39"/>
      <c r="N350" s="43">
        <f t="shared" si="10"/>
        <v>6</v>
      </c>
      <c r="O350" s="33">
        <v>29</v>
      </c>
      <c r="P350" s="32"/>
      <c r="Q350" s="32">
        <v>348</v>
      </c>
      <c r="R350" s="32">
        <v>120</v>
      </c>
      <c r="S350" s="32">
        <v>120</v>
      </c>
      <c r="T350" s="32">
        <v>60</v>
      </c>
      <c r="U350" s="32">
        <v>48</v>
      </c>
      <c r="V350" s="32"/>
      <c r="W350" s="32"/>
      <c r="X350">
        <f t="shared" si="11"/>
        <v>4</v>
      </c>
      <c r="BK350" s="32">
        <v>348</v>
      </c>
      <c r="BL350">
        <v>15</v>
      </c>
      <c r="BM350">
        <v>3</v>
      </c>
    </row>
    <row r="351" spans="1:65" x14ac:dyDescent="0.45">
      <c r="A351" s="33"/>
      <c r="B351" s="32">
        <v>1</v>
      </c>
      <c r="C351" s="32">
        <v>349</v>
      </c>
      <c r="D351" s="32">
        <v>60</v>
      </c>
      <c r="E351" s="32">
        <v>60</v>
      </c>
      <c r="F351" s="32">
        <v>60</v>
      </c>
      <c r="G351" s="32">
        <v>60</v>
      </c>
      <c r="H351" s="32">
        <v>60</v>
      </c>
      <c r="I351" s="32">
        <v>60</v>
      </c>
      <c r="J351" s="32"/>
      <c r="K351" s="32"/>
      <c r="L351" s="32"/>
      <c r="M351" s="39"/>
      <c r="N351" s="43">
        <f t="shared" si="10"/>
        <v>6</v>
      </c>
      <c r="O351" s="33"/>
      <c r="P351" s="32">
        <v>1</v>
      </c>
      <c r="Q351" s="32">
        <v>349</v>
      </c>
      <c r="R351" s="32">
        <v>120</v>
      </c>
      <c r="S351" s="32">
        <v>120</v>
      </c>
      <c r="T351" s="32">
        <v>120</v>
      </c>
      <c r="U351" s="32"/>
      <c r="V351" s="32"/>
      <c r="W351" s="32"/>
      <c r="X351">
        <f t="shared" si="11"/>
        <v>3</v>
      </c>
      <c r="BK351" s="32">
        <v>349</v>
      </c>
      <c r="BL351">
        <v>15</v>
      </c>
      <c r="BM351">
        <v>3</v>
      </c>
    </row>
    <row r="352" spans="1:65" x14ac:dyDescent="0.45">
      <c r="A352" s="33"/>
      <c r="B352" s="32">
        <v>2</v>
      </c>
      <c r="C352" s="32">
        <v>350</v>
      </c>
      <c r="D352" s="32">
        <v>60</v>
      </c>
      <c r="E352" s="32">
        <v>60</v>
      </c>
      <c r="F352" s="32">
        <v>60</v>
      </c>
      <c r="G352" s="32">
        <v>60</v>
      </c>
      <c r="H352" s="32">
        <v>60</v>
      </c>
      <c r="I352" s="32">
        <v>60</v>
      </c>
      <c r="J352" s="32"/>
      <c r="K352" s="32"/>
      <c r="L352" s="32"/>
      <c r="M352" s="39"/>
      <c r="N352" s="43">
        <f t="shared" si="10"/>
        <v>6</v>
      </c>
      <c r="O352" s="33"/>
      <c r="P352" s="32">
        <v>2</v>
      </c>
      <c r="Q352" s="32">
        <v>350</v>
      </c>
      <c r="R352" s="32">
        <v>120</v>
      </c>
      <c r="S352" s="32">
        <v>120</v>
      </c>
      <c r="T352" s="32">
        <v>120</v>
      </c>
      <c r="U352" s="32"/>
      <c r="V352" s="32"/>
      <c r="W352" s="32"/>
      <c r="X352">
        <f t="shared" si="11"/>
        <v>3</v>
      </c>
      <c r="BK352" s="32">
        <v>350</v>
      </c>
      <c r="BL352">
        <v>15</v>
      </c>
      <c r="BM352">
        <v>3</v>
      </c>
    </row>
    <row r="353" spans="1:65" x14ac:dyDescent="0.45">
      <c r="A353" s="33"/>
      <c r="B353" s="32">
        <v>3</v>
      </c>
      <c r="C353" s="32">
        <v>351</v>
      </c>
      <c r="D353" s="32">
        <v>60</v>
      </c>
      <c r="E353" s="32">
        <v>60</v>
      </c>
      <c r="F353" s="32">
        <v>60</v>
      </c>
      <c r="G353" s="32">
        <v>60</v>
      </c>
      <c r="H353" s="32">
        <v>60</v>
      </c>
      <c r="I353" s="32">
        <v>60</v>
      </c>
      <c r="J353" s="32"/>
      <c r="K353" s="32"/>
      <c r="L353" s="32"/>
      <c r="M353" s="39"/>
      <c r="N353" s="43">
        <f t="shared" si="10"/>
        <v>6</v>
      </c>
      <c r="O353" s="33"/>
      <c r="P353" s="32">
        <v>3</v>
      </c>
      <c r="Q353" s="32">
        <v>351</v>
      </c>
      <c r="R353" s="32">
        <v>120</v>
      </c>
      <c r="S353" s="32">
        <v>120</v>
      </c>
      <c r="T353" s="32">
        <v>120</v>
      </c>
      <c r="U353" s="32"/>
      <c r="V353" s="32"/>
      <c r="W353" s="32"/>
      <c r="X353">
        <f t="shared" si="11"/>
        <v>3</v>
      </c>
      <c r="BK353" s="32">
        <v>351</v>
      </c>
      <c r="BL353">
        <v>15</v>
      </c>
      <c r="BM353">
        <v>3</v>
      </c>
    </row>
    <row r="354" spans="1:65" x14ac:dyDescent="0.45">
      <c r="A354" s="33"/>
      <c r="B354" s="32">
        <v>4</v>
      </c>
      <c r="C354" s="32">
        <v>352</v>
      </c>
      <c r="D354" s="32">
        <v>60</v>
      </c>
      <c r="E354" s="32">
        <v>60</v>
      </c>
      <c r="F354" s="32">
        <v>60</v>
      </c>
      <c r="G354" s="32">
        <v>60</v>
      </c>
      <c r="H354" s="32">
        <v>60</v>
      </c>
      <c r="I354" s="32">
        <v>60</v>
      </c>
      <c r="J354" s="32"/>
      <c r="K354" s="32"/>
      <c r="L354" s="32"/>
      <c r="M354" s="39"/>
      <c r="N354" s="43">
        <f t="shared" si="10"/>
        <v>6</v>
      </c>
      <c r="O354" s="33"/>
      <c r="P354" s="32">
        <v>4</v>
      </c>
      <c r="Q354" s="32">
        <v>352</v>
      </c>
      <c r="R354" s="32">
        <v>120</v>
      </c>
      <c r="S354" s="32">
        <v>120</v>
      </c>
      <c r="T354" s="32">
        <v>120</v>
      </c>
      <c r="U354" s="32"/>
      <c r="V354" s="32"/>
      <c r="W354" s="32"/>
      <c r="X354">
        <f t="shared" si="11"/>
        <v>3</v>
      </c>
      <c r="BK354" s="32">
        <v>352</v>
      </c>
      <c r="BL354">
        <v>15</v>
      </c>
      <c r="BM354">
        <v>3</v>
      </c>
    </row>
    <row r="355" spans="1:65" x14ac:dyDescent="0.45">
      <c r="A355" s="33"/>
      <c r="B355" s="32">
        <v>5</v>
      </c>
      <c r="C355" s="32">
        <v>353</v>
      </c>
      <c r="D355" s="32">
        <v>60</v>
      </c>
      <c r="E355" s="32">
        <v>60</v>
      </c>
      <c r="F355" s="32">
        <v>60</v>
      </c>
      <c r="G355" s="32">
        <v>60</v>
      </c>
      <c r="H355" s="32">
        <v>60</v>
      </c>
      <c r="I355" s="32">
        <v>60</v>
      </c>
      <c r="J355" s="32"/>
      <c r="K355" s="32"/>
      <c r="L355" s="32"/>
      <c r="M355" s="39"/>
      <c r="N355" s="43">
        <f t="shared" si="10"/>
        <v>6</v>
      </c>
      <c r="O355" s="33"/>
      <c r="P355" s="32">
        <v>5</v>
      </c>
      <c r="Q355" s="32">
        <v>353</v>
      </c>
      <c r="R355" s="32">
        <v>120</v>
      </c>
      <c r="S355" s="32">
        <v>120</v>
      </c>
      <c r="T355" s="32">
        <v>120</v>
      </c>
      <c r="U355" s="32"/>
      <c r="V355" s="32"/>
      <c r="W355" s="32"/>
      <c r="X355">
        <f t="shared" si="11"/>
        <v>3</v>
      </c>
      <c r="BK355" s="32">
        <v>353</v>
      </c>
      <c r="BL355">
        <v>15</v>
      </c>
      <c r="BM355">
        <v>3</v>
      </c>
    </row>
    <row r="356" spans="1:65" x14ac:dyDescent="0.45">
      <c r="A356" s="33"/>
      <c r="B356" s="32">
        <v>6</v>
      </c>
      <c r="C356" s="32">
        <v>354</v>
      </c>
      <c r="D356" s="32">
        <v>60</v>
      </c>
      <c r="E356" s="32">
        <v>60</v>
      </c>
      <c r="F356" s="32">
        <v>60</v>
      </c>
      <c r="G356" s="32">
        <v>60</v>
      </c>
      <c r="H356" s="32">
        <v>60</v>
      </c>
      <c r="I356" s="32">
        <v>60</v>
      </c>
      <c r="J356" s="32"/>
      <c r="K356" s="32"/>
      <c r="L356" s="32"/>
      <c r="M356" s="39"/>
      <c r="N356" s="43">
        <f t="shared" si="10"/>
        <v>6</v>
      </c>
      <c r="O356" s="33"/>
      <c r="P356" s="32">
        <v>6</v>
      </c>
      <c r="Q356" s="32">
        <v>354</v>
      </c>
      <c r="R356" s="32">
        <v>120</v>
      </c>
      <c r="S356" s="32">
        <v>120</v>
      </c>
      <c r="T356" s="32">
        <v>120</v>
      </c>
      <c r="U356" s="32"/>
      <c r="V356" s="32"/>
      <c r="W356" s="32"/>
      <c r="X356">
        <f t="shared" si="11"/>
        <v>3</v>
      </c>
      <c r="BK356" s="32">
        <v>354</v>
      </c>
      <c r="BL356">
        <v>15</v>
      </c>
      <c r="BM356">
        <v>3</v>
      </c>
    </row>
    <row r="357" spans="1:65" x14ac:dyDescent="0.45">
      <c r="A357" s="33"/>
      <c r="B357" s="32">
        <v>7</v>
      </c>
      <c r="C357" s="32">
        <v>355</v>
      </c>
      <c r="D357" s="32">
        <v>60</v>
      </c>
      <c r="E357" s="32">
        <v>60</v>
      </c>
      <c r="F357" s="32">
        <v>60</v>
      </c>
      <c r="G357" s="32">
        <v>60</v>
      </c>
      <c r="H357" s="32">
        <v>60</v>
      </c>
      <c r="I357" s="32">
        <v>60</v>
      </c>
      <c r="J357" s="32"/>
      <c r="K357" s="32"/>
      <c r="L357" s="32"/>
      <c r="M357" s="39"/>
      <c r="N357" s="43">
        <f t="shared" si="10"/>
        <v>6</v>
      </c>
      <c r="O357" s="33"/>
      <c r="P357" s="32">
        <v>7</v>
      </c>
      <c r="Q357" s="32">
        <v>355</v>
      </c>
      <c r="R357" s="32">
        <v>120</v>
      </c>
      <c r="S357" s="32">
        <v>120</v>
      </c>
      <c r="T357" s="32">
        <v>120</v>
      </c>
      <c r="U357" s="32"/>
      <c r="V357" s="32"/>
      <c r="W357" s="32"/>
      <c r="X357">
        <f t="shared" si="11"/>
        <v>3</v>
      </c>
      <c r="BK357" s="32">
        <v>355</v>
      </c>
      <c r="BL357">
        <v>15</v>
      </c>
      <c r="BM357">
        <v>3</v>
      </c>
    </row>
    <row r="358" spans="1:65" x14ac:dyDescent="0.45">
      <c r="A358" s="33"/>
      <c r="B358" s="32">
        <v>8</v>
      </c>
      <c r="C358" s="32">
        <v>356</v>
      </c>
      <c r="D358" s="32">
        <v>60</v>
      </c>
      <c r="E358" s="32">
        <v>60</v>
      </c>
      <c r="F358" s="32">
        <v>60</v>
      </c>
      <c r="G358" s="32">
        <v>60</v>
      </c>
      <c r="H358" s="32">
        <v>60</v>
      </c>
      <c r="I358" s="32">
        <v>60</v>
      </c>
      <c r="J358" s="32"/>
      <c r="K358" s="32"/>
      <c r="L358" s="32"/>
      <c r="M358" s="39"/>
      <c r="N358" s="43">
        <f t="shared" si="10"/>
        <v>6</v>
      </c>
      <c r="O358" s="33"/>
      <c r="P358" s="32">
        <v>8</v>
      </c>
      <c r="Q358" s="32">
        <v>356</v>
      </c>
      <c r="R358" s="32">
        <v>120</v>
      </c>
      <c r="S358" s="32">
        <v>120</v>
      </c>
      <c r="T358" s="32">
        <v>120</v>
      </c>
      <c r="U358" s="32"/>
      <c r="V358" s="32"/>
      <c r="W358" s="32"/>
      <c r="X358">
        <f t="shared" si="11"/>
        <v>3</v>
      </c>
      <c r="BK358" s="32">
        <v>356</v>
      </c>
      <c r="BL358">
        <v>15</v>
      </c>
      <c r="BM358">
        <v>3</v>
      </c>
    </row>
    <row r="359" spans="1:65" x14ac:dyDescent="0.45">
      <c r="A359" s="33"/>
      <c r="B359" s="32">
        <v>9</v>
      </c>
      <c r="C359" s="32">
        <v>357</v>
      </c>
      <c r="D359" s="32">
        <v>60</v>
      </c>
      <c r="E359" s="32">
        <v>60</v>
      </c>
      <c r="F359" s="32">
        <v>60</v>
      </c>
      <c r="G359" s="32">
        <v>60</v>
      </c>
      <c r="H359" s="32">
        <v>60</v>
      </c>
      <c r="I359" s="32">
        <v>60</v>
      </c>
      <c r="J359" s="32"/>
      <c r="K359" s="32"/>
      <c r="L359" s="32"/>
      <c r="M359" s="39"/>
      <c r="N359" s="43">
        <f t="shared" si="10"/>
        <v>6</v>
      </c>
      <c r="O359" s="33"/>
      <c r="P359" s="32">
        <v>9</v>
      </c>
      <c r="Q359" s="32">
        <v>357</v>
      </c>
      <c r="R359" s="32">
        <v>120</v>
      </c>
      <c r="S359" s="32">
        <v>120</v>
      </c>
      <c r="T359" s="32">
        <v>120</v>
      </c>
      <c r="U359" s="32"/>
      <c r="V359" s="32"/>
      <c r="W359" s="32"/>
      <c r="X359">
        <f t="shared" si="11"/>
        <v>3</v>
      </c>
      <c r="BK359" s="32">
        <v>357</v>
      </c>
      <c r="BL359">
        <v>15</v>
      </c>
      <c r="BM359">
        <v>3</v>
      </c>
    </row>
    <row r="360" spans="1:65" x14ac:dyDescent="0.45">
      <c r="A360" s="33"/>
      <c r="B360" s="32">
        <v>10</v>
      </c>
      <c r="C360" s="32">
        <v>358</v>
      </c>
      <c r="D360" s="32">
        <v>60</v>
      </c>
      <c r="E360" s="32">
        <v>60</v>
      </c>
      <c r="F360" s="32">
        <v>60</v>
      </c>
      <c r="G360" s="32">
        <v>60</v>
      </c>
      <c r="H360" s="32">
        <v>60</v>
      </c>
      <c r="I360" s="32">
        <v>60</v>
      </c>
      <c r="J360" s="32"/>
      <c r="K360" s="32"/>
      <c r="L360" s="32"/>
      <c r="M360" s="39"/>
      <c r="N360" s="43">
        <f t="shared" si="10"/>
        <v>6</v>
      </c>
      <c r="O360" s="33"/>
      <c r="P360" s="32">
        <v>10</v>
      </c>
      <c r="Q360" s="32">
        <v>358</v>
      </c>
      <c r="R360" s="32">
        <v>120</v>
      </c>
      <c r="S360" s="32">
        <v>120</v>
      </c>
      <c r="T360" s="32">
        <v>120</v>
      </c>
      <c r="U360" s="32"/>
      <c r="V360" s="32"/>
      <c r="W360" s="32"/>
      <c r="X360">
        <f t="shared" si="11"/>
        <v>3</v>
      </c>
      <c r="BK360" s="32">
        <v>358</v>
      </c>
      <c r="BL360">
        <v>15</v>
      </c>
      <c r="BM360">
        <v>3</v>
      </c>
    </row>
    <row r="361" spans="1:65" x14ac:dyDescent="0.45">
      <c r="A361" s="33"/>
      <c r="B361" s="32">
        <v>11</v>
      </c>
      <c r="C361" s="32">
        <v>359</v>
      </c>
      <c r="D361" s="32">
        <v>60</v>
      </c>
      <c r="E361" s="32">
        <v>60</v>
      </c>
      <c r="F361" s="32">
        <v>60</v>
      </c>
      <c r="G361" s="32">
        <v>60</v>
      </c>
      <c r="H361" s="32">
        <v>60</v>
      </c>
      <c r="I361" s="32">
        <v>60</v>
      </c>
      <c r="J361" s="32"/>
      <c r="K361" s="32"/>
      <c r="L361" s="32"/>
      <c r="M361" s="39"/>
      <c r="N361" s="43">
        <f t="shared" si="10"/>
        <v>6</v>
      </c>
      <c r="O361" s="33"/>
      <c r="P361" s="32">
        <v>11</v>
      </c>
      <c r="Q361" s="32">
        <v>359</v>
      </c>
      <c r="R361" s="32">
        <v>120</v>
      </c>
      <c r="S361" s="32">
        <v>120</v>
      </c>
      <c r="T361" s="32">
        <v>120</v>
      </c>
      <c r="U361" s="32"/>
      <c r="V361" s="32"/>
      <c r="W361" s="32"/>
      <c r="X361">
        <f t="shared" si="11"/>
        <v>3</v>
      </c>
      <c r="BK361" s="32">
        <v>359</v>
      </c>
      <c r="BL361">
        <v>15</v>
      </c>
      <c r="BM361">
        <v>3</v>
      </c>
    </row>
    <row r="362" spans="1:65" x14ac:dyDescent="0.45">
      <c r="A362" s="33">
        <v>30</v>
      </c>
      <c r="B362" s="32"/>
      <c r="C362" s="32">
        <v>360</v>
      </c>
      <c r="D362" s="32">
        <v>60</v>
      </c>
      <c r="E362" s="32">
        <v>60</v>
      </c>
      <c r="F362" s="32">
        <v>60</v>
      </c>
      <c r="G362" s="32">
        <v>60</v>
      </c>
      <c r="H362" s="32">
        <v>60</v>
      </c>
      <c r="I362" s="32">
        <v>60</v>
      </c>
      <c r="J362" s="32"/>
      <c r="K362" s="32"/>
      <c r="L362" s="32"/>
      <c r="M362" s="39"/>
      <c r="N362" s="43">
        <f t="shared" si="10"/>
        <v>6</v>
      </c>
      <c r="O362" s="33">
        <v>30</v>
      </c>
      <c r="P362" s="32"/>
      <c r="Q362" s="32">
        <v>360</v>
      </c>
      <c r="R362" s="32">
        <v>120</v>
      </c>
      <c r="S362" s="32">
        <v>120</v>
      </c>
      <c r="T362" s="32">
        <v>120</v>
      </c>
      <c r="U362" s="32"/>
      <c r="V362" s="32"/>
      <c r="W362" s="32"/>
      <c r="X362">
        <f t="shared" si="11"/>
        <v>3</v>
      </c>
      <c r="BK362" s="32">
        <v>360</v>
      </c>
      <c r="BL362">
        <v>15</v>
      </c>
      <c r="BM362">
        <v>3.5</v>
      </c>
    </row>
    <row r="363" spans="1:65" x14ac:dyDescent="0.45">
      <c r="A363" s="33"/>
      <c r="B363" s="32">
        <v>1</v>
      </c>
      <c r="C363" s="32">
        <v>361</v>
      </c>
      <c r="D363" s="32">
        <v>60</v>
      </c>
      <c r="E363" s="32">
        <v>60</v>
      </c>
      <c r="F363" s="32">
        <v>60</v>
      </c>
      <c r="G363" s="32">
        <v>48</v>
      </c>
      <c r="H363" s="32">
        <v>48</v>
      </c>
      <c r="I363" s="32">
        <v>48</v>
      </c>
      <c r="J363" s="32">
        <v>48</v>
      </c>
      <c r="K363" s="32"/>
      <c r="L363" s="32"/>
      <c r="M363" s="39"/>
      <c r="N363" s="43">
        <f t="shared" si="10"/>
        <v>7</v>
      </c>
      <c r="O363" s="33"/>
      <c r="P363" s="32">
        <v>1</v>
      </c>
      <c r="Q363" s="32">
        <v>361</v>
      </c>
      <c r="R363" s="32">
        <v>120</v>
      </c>
      <c r="S363" s="32">
        <v>96</v>
      </c>
      <c r="T363" s="32">
        <v>96</v>
      </c>
      <c r="U363" s="32">
        <v>60</v>
      </c>
      <c r="V363" s="32"/>
      <c r="W363" s="32"/>
      <c r="X363">
        <f t="shared" si="11"/>
        <v>4</v>
      </c>
      <c r="BK363" s="32">
        <v>361</v>
      </c>
      <c r="BL363">
        <v>20</v>
      </c>
      <c r="BM363">
        <v>3.5</v>
      </c>
    </row>
    <row r="364" spans="1:65" x14ac:dyDescent="0.45">
      <c r="A364" s="33"/>
      <c r="B364" s="32">
        <v>2</v>
      </c>
      <c r="C364" s="32">
        <v>362</v>
      </c>
      <c r="D364" s="32">
        <v>60</v>
      </c>
      <c r="E364" s="32">
        <v>60</v>
      </c>
      <c r="F364" s="32">
        <v>60</v>
      </c>
      <c r="G364" s="32">
        <v>48</v>
      </c>
      <c r="H364" s="32">
        <v>48</v>
      </c>
      <c r="I364" s="32">
        <v>48</v>
      </c>
      <c r="J364" s="32">
        <v>48</v>
      </c>
      <c r="K364" s="32"/>
      <c r="L364" s="32"/>
      <c r="M364" s="39"/>
      <c r="N364" s="43">
        <f t="shared" si="10"/>
        <v>7</v>
      </c>
      <c r="O364" s="33"/>
      <c r="P364" s="32">
        <v>2</v>
      </c>
      <c r="Q364" s="32">
        <v>362</v>
      </c>
      <c r="R364" s="32">
        <v>120</v>
      </c>
      <c r="S364" s="32">
        <v>96</v>
      </c>
      <c r="T364" s="32">
        <v>96</v>
      </c>
      <c r="U364" s="32">
        <v>60</v>
      </c>
      <c r="V364" s="32"/>
      <c r="W364" s="32"/>
      <c r="X364">
        <f t="shared" si="11"/>
        <v>4</v>
      </c>
      <c r="BK364" s="32">
        <v>362</v>
      </c>
      <c r="BL364">
        <v>20</v>
      </c>
      <c r="BM364">
        <v>3.5</v>
      </c>
    </row>
    <row r="365" spans="1:65" x14ac:dyDescent="0.45">
      <c r="A365" s="33"/>
      <c r="B365" s="32">
        <v>3</v>
      </c>
      <c r="C365" s="32">
        <v>363</v>
      </c>
      <c r="D365" s="32">
        <v>60</v>
      </c>
      <c r="E365" s="32">
        <v>60</v>
      </c>
      <c r="F365" s="32">
        <v>60</v>
      </c>
      <c r="G365" s="32">
        <v>48</v>
      </c>
      <c r="H365" s="32">
        <v>48</v>
      </c>
      <c r="I365" s="32">
        <v>48</v>
      </c>
      <c r="J365" s="32">
        <v>48</v>
      </c>
      <c r="K365" s="32"/>
      <c r="L365" s="32"/>
      <c r="M365" s="39"/>
      <c r="N365" s="43">
        <f t="shared" si="10"/>
        <v>7</v>
      </c>
      <c r="O365" s="33"/>
      <c r="P365" s="32">
        <v>3</v>
      </c>
      <c r="Q365" s="32">
        <v>363</v>
      </c>
      <c r="R365" s="32">
        <v>120</v>
      </c>
      <c r="S365" s="32">
        <v>96</v>
      </c>
      <c r="T365" s="32">
        <v>96</v>
      </c>
      <c r="U365" s="32">
        <v>60</v>
      </c>
      <c r="V365" s="32"/>
      <c r="W365" s="32"/>
      <c r="X365">
        <f t="shared" si="11"/>
        <v>4</v>
      </c>
      <c r="BK365" s="32">
        <v>363</v>
      </c>
      <c r="BL365">
        <v>20</v>
      </c>
      <c r="BM365">
        <v>3.5</v>
      </c>
    </row>
    <row r="366" spans="1:65" x14ac:dyDescent="0.45">
      <c r="A366" s="33"/>
      <c r="B366" s="32">
        <v>4</v>
      </c>
      <c r="C366" s="32">
        <v>364</v>
      </c>
      <c r="D366" s="32">
        <v>60</v>
      </c>
      <c r="E366" s="32">
        <v>60</v>
      </c>
      <c r="F366" s="32">
        <v>60</v>
      </c>
      <c r="G366" s="32">
        <v>48</v>
      </c>
      <c r="H366" s="32">
        <v>48</v>
      </c>
      <c r="I366" s="32">
        <v>48</v>
      </c>
      <c r="J366" s="32">
        <v>48</v>
      </c>
      <c r="K366" s="32"/>
      <c r="L366" s="32"/>
      <c r="M366" s="39"/>
      <c r="N366" s="43">
        <f t="shared" si="10"/>
        <v>7</v>
      </c>
      <c r="O366" s="33"/>
      <c r="P366" s="32">
        <v>4</v>
      </c>
      <c r="Q366" s="32">
        <v>364</v>
      </c>
      <c r="R366" s="32">
        <v>120</v>
      </c>
      <c r="S366" s="32">
        <v>96</v>
      </c>
      <c r="T366" s="32">
        <v>96</v>
      </c>
      <c r="U366" s="32">
        <v>60</v>
      </c>
      <c r="V366" s="32"/>
      <c r="W366" s="32"/>
      <c r="X366">
        <f t="shared" si="11"/>
        <v>4</v>
      </c>
      <c r="BK366" s="32">
        <v>364</v>
      </c>
      <c r="BL366">
        <v>20</v>
      </c>
      <c r="BM366">
        <v>3.5</v>
      </c>
    </row>
    <row r="367" spans="1:65" x14ac:dyDescent="0.45">
      <c r="A367" s="33"/>
      <c r="B367" s="32">
        <v>5</v>
      </c>
      <c r="C367" s="32">
        <v>365</v>
      </c>
      <c r="D367" s="32">
        <v>60</v>
      </c>
      <c r="E367" s="32">
        <v>60</v>
      </c>
      <c r="F367" s="32">
        <v>60</v>
      </c>
      <c r="G367" s="32">
        <v>48</v>
      </c>
      <c r="H367" s="32">
        <v>48</v>
      </c>
      <c r="I367" s="32">
        <v>48</v>
      </c>
      <c r="J367" s="32">
        <v>48</v>
      </c>
      <c r="K367" s="32"/>
      <c r="L367" s="32"/>
      <c r="M367" s="39"/>
      <c r="N367" s="43">
        <f t="shared" si="10"/>
        <v>7</v>
      </c>
      <c r="O367" s="33"/>
      <c r="P367" s="32">
        <v>5</v>
      </c>
      <c r="Q367" s="32">
        <v>365</v>
      </c>
      <c r="R367" s="32">
        <v>120</v>
      </c>
      <c r="S367" s="32">
        <v>96</v>
      </c>
      <c r="T367" s="32">
        <v>96</v>
      </c>
      <c r="U367" s="32">
        <v>60</v>
      </c>
      <c r="V367" s="32"/>
      <c r="W367" s="32"/>
      <c r="X367">
        <f t="shared" si="11"/>
        <v>4</v>
      </c>
      <c r="BK367" s="32">
        <v>365</v>
      </c>
      <c r="BL367">
        <v>20</v>
      </c>
      <c r="BM367">
        <v>3.5</v>
      </c>
    </row>
    <row r="368" spans="1:65" x14ac:dyDescent="0.45">
      <c r="A368" s="33"/>
      <c r="B368" s="32">
        <v>6</v>
      </c>
      <c r="C368" s="32">
        <v>366</v>
      </c>
      <c r="D368" s="32">
        <v>60</v>
      </c>
      <c r="E368" s="32">
        <v>60</v>
      </c>
      <c r="F368" s="32">
        <v>60</v>
      </c>
      <c r="G368" s="32">
        <v>48</v>
      </c>
      <c r="H368" s="32">
        <v>48</v>
      </c>
      <c r="I368" s="32">
        <v>48</v>
      </c>
      <c r="J368" s="32">
        <v>48</v>
      </c>
      <c r="K368" s="32"/>
      <c r="L368" s="32"/>
      <c r="M368" s="39"/>
      <c r="N368" s="43">
        <f t="shared" si="10"/>
        <v>7</v>
      </c>
      <c r="O368" s="33"/>
      <c r="P368" s="32">
        <v>6</v>
      </c>
      <c r="Q368" s="32">
        <v>366</v>
      </c>
      <c r="R368" s="32">
        <v>120</v>
      </c>
      <c r="S368" s="32">
        <v>96</v>
      </c>
      <c r="T368" s="32">
        <v>96</v>
      </c>
      <c r="U368" s="32">
        <v>60</v>
      </c>
      <c r="V368" s="32"/>
      <c r="W368" s="32"/>
      <c r="X368">
        <f t="shared" si="11"/>
        <v>4</v>
      </c>
      <c r="BK368" s="32">
        <v>366</v>
      </c>
      <c r="BL368">
        <v>20</v>
      </c>
      <c r="BM368">
        <v>3.5</v>
      </c>
    </row>
    <row r="369" spans="1:65" x14ac:dyDescent="0.45">
      <c r="A369" s="33"/>
      <c r="B369" s="32">
        <v>7</v>
      </c>
      <c r="C369" s="32">
        <v>367</v>
      </c>
      <c r="D369" s="32">
        <v>60</v>
      </c>
      <c r="E369" s="32">
        <v>60</v>
      </c>
      <c r="F369" s="32">
        <v>60</v>
      </c>
      <c r="G369" s="32">
        <v>48</v>
      </c>
      <c r="H369" s="32">
        <v>48</v>
      </c>
      <c r="I369" s="32">
        <v>48</v>
      </c>
      <c r="J369" s="32">
        <v>48</v>
      </c>
      <c r="K369" s="32"/>
      <c r="L369" s="32"/>
      <c r="M369" s="39"/>
      <c r="N369" s="43">
        <f t="shared" si="10"/>
        <v>7</v>
      </c>
      <c r="O369" s="33"/>
      <c r="P369" s="32">
        <v>7</v>
      </c>
      <c r="Q369" s="32">
        <v>367</v>
      </c>
      <c r="R369" s="32">
        <v>120</v>
      </c>
      <c r="S369" s="32">
        <v>96</v>
      </c>
      <c r="T369" s="32">
        <v>96</v>
      </c>
      <c r="U369" s="32">
        <v>60</v>
      </c>
      <c r="V369" s="32"/>
      <c r="W369" s="32"/>
      <c r="X369">
        <f t="shared" si="11"/>
        <v>4</v>
      </c>
      <c r="BK369" s="32">
        <v>367</v>
      </c>
      <c r="BL369">
        <v>20</v>
      </c>
      <c r="BM369">
        <v>3.5</v>
      </c>
    </row>
    <row r="370" spans="1:65" x14ac:dyDescent="0.45">
      <c r="A370" s="33"/>
      <c r="B370" s="32">
        <v>8</v>
      </c>
      <c r="C370" s="32">
        <v>368</v>
      </c>
      <c r="D370" s="32">
        <v>60</v>
      </c>
      <c r="E370" s="32">
        <v>60</v>
      </c>
      <c r="F370" s="32">
        <v>60</v>
      </c>
      <c r="G370" s="32">
        <v>48</v>
      </c>
      <c r="H370" s="32">
        <v>48</v>
      </c>
      <c r="I370" s="32">
        <v>48</v>
      </c>
      <c r="J370" s="32">
        <v>48</v>
      </c>
      <c r="K370" s="32"/>
      <c r="L370" s="32"/>
      <c r="M370" s="39"/>
      <c r="N370" s="43">
        <f t="shared" si="10"/>
        <v>7</v>
      </c>
      <c r="O370" s="33"/>
      <c r="P370" s="32">
        <v>8</v>
      </c>
      <c r="Q370" s="32">
        <v>368</v>
      </c>
      <c r="R370" s="32">
        <v>120</v>
      </c>
      <c r="S370" s="32">
        <v>96</v>
      </c>
      <c r="T370" s="32">
        <v>96</v>
      </c>
      <c r="U370" s="32">
        <v>60</v>
      </c>
      <c r="V370" s="32"/>
      <c r="W370" s="32"/>
      <c r="X370">
        <f t="shared" si="11"/>
        <v>4</v>
      </c>
      <c r="BK370" s="32">
        <v>368</v>
      </c>
      <c r="BL370">
        <v>20</v>
      </c>
      <c r="BM370">
        <v>3.5</v>
      </c>
    </row>
    <row r="371" spans="1:65" x14ac:dyDescent="0.45">
      <c r="A371" s="33"/>
      <c r="B371" s="32">
        <v>9</v>
      </c>
      <c r="C371" s="32">
        <v>369</v>
      </c>
      <c r="D371" s="32">
        <v>60</v>
      </c>
      <c r="E371" s="32">
        <v>60</v>
      </c>
      <c r="F371" s="32">
        <v>60</v>
      </c>
      <c r="G371" s="32">
        <v>48</v>
      </c>
      <c r="H371" s="32">
        <v>48</v>
      </c>
      <c r="I371" s="32">
        <v>48</v>
      </c>
      <c r="J371" s="32">
        <v>48</v>
      </c>
      <c r="K371" s="32"/>
      <c r="L371" s="32"/>
      <c r="M371" s="39"/>
      <c r="N371" s="43">
        <f t="shared" si="10"/>
        <v>7</v>
      </c>
      <c r="O371" s="33"/>
      <c r="P371" s="32">
        <v>9</v>
      </c>
      <c r="Q371" s="32">
        <v>369</v>
      </c>
      <c r="R371" s="32">
        <v>120</v>
      </c>
      <c r="S371" s="32">
        <v>96</v>
      </c>
      <c r="T371" s="32">
        <v>96</v>
      </c>
      <c r="U371" s="32">
        <v>60</v>
      </c>
      <c r="V371" s="32"/>
      <c r="W371" s="32"/>
      <c r="X371">
        <f t="shared" si="11"/>
        <v>4</v>
      </c>
      <c r="BK371" s="32">
        <v>369</v>
      </c>
      <c r="BL371">
        <v>20</v>
      </c>
      <c r="BM371">
        <v>3.5</v>
      </c>
    </row>
    <row r="372" spans="1:65" x14ac:dyDescent="0.45">
      <c r="A372" s="33"/>
      <c r="B372" s="32">
        <v>10</v>
      </c>
      <c r="C372" s="32">
        <v>370</v>
      </c>
      <c r="D372" s="32">
        <v>60</v>
      </c>
      <c r="E372" s="32">
        <v>60</v>
      </c>
      <c r="F372" s="32">
        <v>60</v>
      </c>
      <c r="G372" s="32">
        <v>48</v>
      </c>
      <c r="H372" s="32">
        <v>48</v>
      </c>
      <c r="I372" s="32">
        <v>48</v>
      </c>
      <c r="J372" s="32">
        <v>48</v>
      </c>
      <c r="K372" s="32"/>
      <c r="L372" s="32"/>
      <c r="M372" s="39"/>
      <c r="N372" s="43">
        <f t="shared" si="10"/>
        <v>7</v>
      </c>
      <c r="O372" s="33"/>
      <c r="P372" s="32">
        <v>10</v>
      </c>
      <c r="Q372" s="32">
        <v>370</v>
      </c>
      <c r="R372" s="32">
        <v>120</v>
      </c>
      <c r="S372" s="32">
        <v>96</v>
      </c>
      <c r="T372" s="32">
        <v>96</v>
      </c>
      <c r="U372" s="32">
        <v>60</v>
      </c>
      <c r="V372" s="32"/>
      <c r="W372" s="32"/>
      <c r="X372">
        <f t="shared" si="11"/>
        <v>4</v>
      </c>
      <c r="BK372" s="32">
        <v>370</v>
      </c>
      <c r="BL372">
        <v>20</v>
      </c>
      <c r="BM372">
        <v>3.5</v>
      </c>
    </row>
    <row r="373" spans="1:65" x14ac:dyDescent="0.45">
      <c r="A373" s="33"/>
      <c r="B373" s="32">
        <v>11</v>
      </c>
      <c r="C373" s="32">
        <v>371</v>
      </c>
      <c r="D373" s="32">
        <v>60</v>
      </c>
      <c r="E373" s="32">
        <v>60</v>
      </c>
      <c r="F373" s="32">
        <v>60</v>
      </c>
      <c r="G373" s="32">
        <v>48</v>
      </c>
      <c r="H373" s="32">
        <v>48</v>
      </c>
      <c r="I373" s="32">
        <v>48</v>
      </c>
      <c r="J373" s="32">
        <v>48</v>
      </c>
      <c r="K373" s="32"/>
      <c r="L373" s="32"/>
      <c r="M373" s="39"/>
      <c r="N373" s="43">
        <f t="shared" si="10"/>
        <v>7</v>
      </c>
      <c r="O373" s="33"/>
      <c r="P373" s="32">
        <v>11</v>
      </c>
      <c r="Q373" s="32">
        <v>371</v>
      </c>
      <c r="R373" s="32">
        <v>120</v>
      </c>
      <c r="S373" s="32">
        <v>96</v>
      </c>
      <c r="T373" s="32">
        <v>96</v>
      </c>
      <c r="U373" s="32">
        <v>60</v>
      </c>
      <c r="V373" s="32"/>
      <c r="W373" s="32"/>
      <c r="X373">
        <f t="shared" si="11"/>
        <v>4</v>
      </c>
      <c r="BK373" s="32">
        <v>371</v>
      </c>
      <c r="BL373">
        <v>20</v>
      </c>
      <c r="BM373">
        <v>3.5</v>
      </c>
    </row>
    <row r="374" spans="1:65" x14ac:dyDescent="0.45">
      <c r="A374" s="33">
        <v>31</v>
      </c>
      <c r="B374" s="32"/>
      <c r="C374" s="32">
        <v>372</v>
      </c>
      <c r="D374" s="32">
        <v>60</v>
      </c>
      <c r="E374" s="32">
        <v>60</v>
      </c>
      <c r="F374" s="32">
        <v>60</v>
      </c>
      <c r="G374" s="32">
        <v>48</v>
      </c>
      <c r="H374" s="32">
        <v>48</v>
      </c>
      <c r="I374" s="32">
        <v>48</v>
      </c>
      <c r="J374" s="32">
        <v>48</v>
      </c>
      <c r="K374" s="32"/>
      <c r="L374" s="32"/>
      <c r="M374" s="39"/>
      <c r="N374" s="43">
        <f t="shared" si="10"/>
        <v>7</v>
      </c>
      <c r="O374" s="33">
        <v>31</v>
      </c>
      <c r="P374" s="32"/>
      <c r="Q374" s="32">
        <v>372</v>
      </c>
      <c r="R374" s="32">
        <v>120</v>
      </c>
      <c r="S374" s="32">
        <v>96</v>
      </c>
      <c r="T374" s="32">
        <v>96</v>
      </c>
      <c r="U374" s="32">
        <v>60</v>
      </c>
      <c r="V374" s="32"/>
      <c r="W374" s="32"/>
      <c r="X374">
        <f t="shared" si="11"/>
        <v>4</v>
      </c>
      <c r="BK374" s="32">
        <v>372</v>
      </c>
      <c r="BL374">
        <v>20</v>
      </c>
      <c r="BM374">
        <v>3.5</v>
      </c>
    </row>
    <row r="375" spans="1:65" x14ac:dyDescent="0.45">
      <c r="A375" s="33"/>
      <c r="B375" s="32">
        <v>1</v>
      </c>
      <c r="C375" s="32">
        <v>373</v>
      </c>
      <c r="D375" s="32">
        <v>60</v>
      </c>
      <c r="E375" s="32">
        <v>60</v>
      </c>
      <c r="F375" s="32">
        <v>60</v>
      </c>
      <c r="G375" s="32">
        <v>60</v>
      </c>
      <c r="H375" s="32">
        <v>48</v>
      </c>
      <c r="I375" s="32">
        <v>48</v>
      </c>
      <c r="J375" s="32">
        <v>48</v>
      </c>
      <c r="K375" s="32"/>
      <c r="L375" s="32"/>
      <c r="M375" s="39"/>
      <c r="N375" s="43">
        <f t="shared" si="10"/>
        <v>7</v>
      </c>
      <c r="O375" s="33"/>
      <c r="P375" s="32">
        <v>1</v>
      </c>
      <c r="Q375" s="32">
        <v>373</v>
      </c>
      <c r="R375" s="32">
        <v>120</v>
      </c>
      <c r="S375" s="32">
        <v>120</v>
      </c>
      <c r="T375" s="32">
        <v>96</v>
      </c>
      <c r="U375" s="32">
        <v>48</v>
      </c>
      <c r="V375" s="32"/>
      <c r="W375" s="32"/>
      <c r="X375">
        <f t="shared" si="11"/>
        <v>4</v>
      </c>
      <c r="BK375" s="32">
        <v>373</v>
      </c>
      <c r="BL375">
        <v>20</v>
      </c>
      <c r="BM375">
        <v>3.5</v>
      </c>
    </row>
    <row r="376" spans="1:65" x14ac:dyDescent="0.45">
      <c r="A376" s="33"/>
      <c r="B376" s="32">
        <v>2</v>
      </c>
      <c r="C376" s="32">
        <v>374</v>
      </c>
      <c r="D376" s="32">
        <v>60</v>
      </c>
      <c r="E376" s="32">
        <v>60</v>
      </c>
      <c r="F376" s="32">
        <v>60</v>
      </c>
      <c r="G376" s="32">
        <v>60</v>
      </c>
      <c r="H376" s="32">
        <v>48</v>
      </c>
      <c r="I376" s="32">
        <v>48</v>
      </c>
      <c r="J376" s="32">
        <v>48</v>
      </c>
      <c r="K376" s="32"/>
      <c r="L376" s="32"/>
      <c r="M376" s="39"/>
      <c r="N376" s="43">
        <f t="shared" si="10"/>
        <v>7</v>
      </c>
      <c r="O376" s="33"/>
      <c r="P376" s="32">
        <v>2</v>
      </c>
      <c r="Q376" s="32">
        <v>374</v>
      </c>
      <c r="R376" s="32">
        <v>120</v>
      </c>
      <c r="S376" s="32">
        <v>120</v>
      </c>
      <c r="T376" s="32">
        <v>96</v>
      </c>
      <c r="U376" s="32">
        <v>48</v>
      </c>
      <c r="V376" s="32"/>
      <c r="W376" s="32"/>
      <c r="X376">
        <f t="shared" si="11"/>
        <v>4</v>
      </c>
      <c r="BK376" s="32">
        <v>374</v>
      </c>
      <c r="BL376">
        <v>20</v>
      </c>
      <c r="BM376">
        <v>3.5</v>
      </c>
    </row>
    <row r="377" spans="1:65" x14ac:dyDescent="0.45">
      <c r="A377" s="33"/>
      <c r="B377" s="32">
        <v>3</v>
      </c>
      <c r="C377" s="32">
        <v>375</v>
      </c>
      <c r="D377" s="32">
        <v>60</v>
      </c>
      <c r="E377" s="32">
        <v>60</v>
      </c>
      <c r="F377" s="32">
        <v>60</v>
      </c>
      <c r="G377" s="32">
        <v>60</v>
      </c>
      <c r="H377" s="32">
        <v>48</v>
      </c>
      <c r="I377" s="32">
        <v>48</v>
      </c>
      <c r="J377" s="32">
        <v>48</v>
      </c>
      <c r="K377" s="32"/>
      <c r="L377" s="32"/>
      <c r="M377" s="39"/>
      <c r="N377" s="43">
        <f t="shared" si="10"/>
        <v>7</v>
      </c>
      <c r="O377" s="33"/>
      <c r="P377" s="32">
        <v>3</v>
      </c>
      <c r="Q377" s="32">
        <v>375</v>
      </c>
      <c r="R377" s="32">
        <v>120</v>
      </c>
      <c r="S377" s="32">
        <v>120</v>
      </c>
      <c r="T377" s="32">
        <v>96</v>
      </c>
      <c r="U377" s="32">
        <v>48</v>
      </c>
      <c r="V377" s="32"/>
      <c r="W377" s="32"/>
      <c r="X377">
        <f t="shared" si="11"/>
        <v>4</v>
      </c>
      <c r="BK377" s="32">
        <v>375</v>
      </c>
      <c r="BL377">
        <v>20</v>
      </c>
      <c r="BM377">
        <v>3.5</v>
      </c>
    </row>
    <row r="378" spans="1:65" x14ac:dyDescent="0.45">
      <c r="A378" s="33"/>
      <c r="B378" s="32">
        <v>4</v>
      </c>
      <c r="C378" s="32">
        <v>376</v>
      </c>
      <c r="D378" s="32">
        <v>60</v>
      </c>
      <c r="E378" s="32">
        <v>60</v>
      </c>
      <c r="F378" s="32">
        <v>60</v>
      </c>
      <c r="G378" s="32">
        <v>60</v>
      </c>
      <c r="H378" s="32">
        <v>48</v>
      </c>
      <c r="I378" s="32">
        <v>48</v>
      </c>
      <c r="J378" s="32">
        <v>48</v>
      </c>
      <c r="K378" s="32"/>
      <c r="L378" s="32"/>
      <c r="M378" s="39"/>
      <c r="N378" s="43">
        <f t="shared" si="10"/>
        <v>7</v>
      </c>
      <c r="O378" s="33"/>
      <c r="P378" s="32">
        <v>4</v>
      </c>
      <c r="Q378" s="32">
        <v>376</v>
      </c>
      <c r="R378" s="32">
        <v>120</v>
      </c>
      <c r="S378" s="32">
        <v>120</v>
      </c>
      <c r="T378" s="32">
        <v>96</v>
      </c>
      <c r="U378" s="32">
        <v>48</v>
      </c>
      <c r="V378" s="32"/>
      <c r="W378" s="32"/>
      <c r="X378">
        <f t="shared" si="11"/>
        <v>4</v>
      </c>
      <c r="BK378" s="32">
        <v>376</v>
      </c>
      <c r="BL378">
        <v>20</v>
      </c>
      <c r="BM378">
        <v>3.5</v>
      </c>
    </row>
    <row r="379" spans="1:65" x14ac:dyDescent="0.45">
      <c r="A379" s="33"/>
      <c r="B379" s="32">
        <v>5</v>
      </c>
      <c r="C379" s="32">
        <v>377</v>
      </c>
      <c r="D379" s="32">
        <v>60</v>
      </c>
      <c r="E379" s="32">
        <v>60</v>
      </c>
      <c r="F379" s="32">
        <v>60</v>
      </c>
      <c r="G379" s="32">
        <v>60</v>
      </c>
      <c r="H379" s="32">
        <v>48</v>
      </c>
      <c r="I379" s="32">
        <v>48</v>
      </c>
      <c r="J379" s="32">
        <v>48</v>
      </c>
      <c r="K379" s="32"/>
      <c r="L379" s="32"/>
      <c r="M379" s="39"/>
      <c r="N379" s="43">
        <f t="shared" si="10"/>
        <v>7</v>
      </c>
      <c r="O379" s="33"/>
      <c r="P379" s="32">
        <v>5</v>
      </c>
      <c r="Q379" s="32">
        <v>377</v>
      </c>
      <c r="R379" s="32">
        <v>120</v>
      </c>
      <c r="S379" s="32">
        <v>120</v>
      </c>
      <c r="T379" s="32">
        <v>96</v>
      </c>
      <c r="U379" s="32">
        <v>48</v>
      </c>
      <c r="V379" s="32"/>
      <c r="W379" s="32"/>
      <c r="X379">
        <f t="shared" si="11"/>
        <v>4</v>
      </c>
      <c r="BK379" s="32">
        <v>377</v>
      </c>
      <c r="BL379">
        <v>20</v>
      </c>
      <c r="BM379">
        <v>3.5</v>
      </c>
    </row>
    <row r="380" spans="1:65" x14ac:dyDescent="0.45">
      <c r="A380" s="33"/>
      <c r="B380" s="32">
        <v>6</v>
      </c>
      <c r="C380" s="32">
        <v>378</v>
      </c>
      <c r="D380" s="32">
        <v>60</v>
      </c>
      <c r="E380" s="32">
        <v>60</v>
      </c>
      <c r="F380" s="32">
        <v>60</v>
      </c>
      <c r="G380" s="32">
        <v>60</v>
      </c>
      <c r="H380" s="32">
        <v>48</v>
      </c>
      <c r="I380" s="32">
        <v>48</v>
      </c>
      <c r="J380" s="32">
        <v>48</v>
      </c>
      <c r="K380" s="32"/>
      <c r="L380" s="32"/>
      <c r="M380" s="39"/>
      <c r="N380" s="43">
        <f t="shared" si="10"/>
        <v>7</v>
      </c>
      <c r="O380" s="33"/>
      <c r="P380" s="32">
        <v>6</v>
      </c>
      <c r="Q380" s="32">
        <v>378</v>
      </c>
      <c r="R380" s="32">
        <v>120</v>
      </c>
      <c r="S380" s="32">
        <v>120</v>
      </c>
      <c r="T380" s="32">
        <v>96</v>
      </c>
      <c r="U380" s="32">
        <v>48</v>
      </c>
      <c r="V380" s="32"/>
      <c r="W380" s="32"/>
      <c r="X380">
        <f t="shared" si="11"/>
        <v>4</v>
      </c>
      <c r="BK380" s="32">
        <v>378</v>
      </c>
      <c r="BL380">
        <v>20</v>
      </c>
      <c r="BM380">
        <v>3.5</v>
      </c>
    </row>
    <row r="381" spans="1:65" x14ac:dyDescent="0.45">
      <c r="A381" s="33"/>
      <c r="B381" s="32">
        <v>7</v>
      </c>
      <c r="C381" s="32">
        <v>379</v>
      </c>
      <c r="D381" s="32">
        <v>60</v>
      </c>
      <c r="E381" s="32">
        <v>60</v>
      </c>
      <c r="F381" s="32">
        <v>60</v>
      </c>
      <c r="G381" s="32">
        <v>60</v>
      </c>
      <c r="H381" s="32">
        <v>48</v>
      </c>
      <c r="I381" s="32">
        <v>48</v>
      </c>
      <c r="J381" s="32">
        <v>48</v>
      </c>
      <c r="K381" s="32"/>
      <c r="L381" s="32"/>
      <c r="M381" s="39"/>
      <c r="N381" s="43">
        <f t="shared" si="10"/>
        <v>7</v>
      </c>
      <c r="O381" s="33"/>
      <c r="P381" s="32">
        <v>7</v>
      </c>
      <c r="Q381" s="32">
        <v>379</v>
      </c>
      <c r="R381" s="32">
        <v>120</v>
      </c>
      <c r="S381" s="32">
        <v>120</v>
      </c>
      <c r="T381" s="32">
        <v>96</v>
      </c>
      <c r="U381" s="32">
        <v>48</v>
      </c>
      <c r="V381" s="32"/>
      <c r="W381" s="32"/>
      <c r="X381">
        <f t="shared" si="11"/>
        <v>4</v>
      </c>
      <c r="BK381" s="32">
        <v>379</v>
      </c>
      <c r="BL381">
        <v>20</v>
      </c>
      <c r="BM381">
        <v>3.5</v>
      </c>
    </row>
    <row r="382" spans="1:65" x14ac:dyDescent="0.45">
      <c r="A382" s="33"/>
      <c r="B382" s="32">
        <v>8</v>
      </c>
      <c r="C382" s="32">
        <v>380</v>
      </c>
      <c r="D382" s="32">
        <v>60</v>
      </c>
      <c r="E382" s="32">
        <v>60</v>
      </c>
      <c r="F382" s="32">
        <v>60</v>
      </c>
      <c r="G382" s="32">
        <v>60</v>
      </c>
      <c r="H382" s="32">
        <v>48</v>
      </c>
      <c r="I382" s="32">
        <v>48</v>
      </c>
      <c r="J382" s="32">
        <v>48</v>
      </c>
      <c r="K382" s="32"/>
      <c r="L382" s="32"/>
      <c r="M382" s="39"/>
      <c r="N382" s="43">
        <f t="shared" si="10"/>
        <v>7</v>
      </c>
      <c r="O382" s="33"/>
      <c r="P382" s="32">
        <v>8</v>
      </c>
      <c r="Q382" s="32">
        <v>380</v>
      </c>
      <c r="R382" s="32">
        <v>120</v>
      </c>
      <c r="S382" s="32">
        <v>120</v>
      </c>
      <c r="T382" s="32">
        <v>96</v>
      </c>
      <c r="U382" s="32">
        <v>48</v>
      </c>
      <c r="V382" s="32"/>
      <c r="W382" s="32"/>
      <c r="X382">
        <f t="shared" si="11"/>
        <v>4</v>
      </c>
      <c r="BK382" s="32">
        <v>380</v>
      </c>
      <c r="BL382">
        <v>20</v>
      </c>
      <c r="BM382">
        <v>3.5</v>
      </c>
    </row>
    <row r="383" spans="1:65" x14ac:dyDescent="0.45">
      <c r="A383" s="33"/>
      <c r="B383" s="32">
        <v>9</v>
      </c>
      <c r="C383" s="32">
        <v>381</v>
      </c>
      <c r="D383" s="32">
        <v>60</v>
      </c>
      <c r="E383" s="32">
        <v>60</v>
      </c>
      <c r="F383" s="32">
        <v>60</v>
      </c>
      <c r="G383" s="32">
        <v>60</v>
      </c>
      <c r="H383" s="32">
        <v>48</v>
      </c>
      <c r="I383" s="32">
        <v>48</v>
      </c>
      <c r="J383" s="32">
        <v>48</v>
      </c>
      <c r="K383" s="32"/>
      <c r="L383" s="32"/>
      <c r="M383" s="39"/>
      <c r="N383" s="43">
        <f t="shared" si="10"/>
        <v>7</v>
      </c>
      <c r="O383" s="33"/>
      <c r="P383" s="32">
        <v>9</v>
      </c>
      <c r="Q383" s="32">
        <v>381</v>
      </c>
      <c r="R383" s="32">
        <v>120</v>
      </c>
      <c r="S383" s="32">
        <v>120</v>
      </c>
      <c r="T383" s="32">
        <v>96</v>
      </c>
      <c r="U383" s="32">
        <v>48</v>
      </c>
      <c r="V383" s="32"/>
      <c r="W383" s="32"/>
      <c r="X383">
        <f t="shared" si="11"/>
        <v>4</v>
      </c>
      <c r="BK383" s="32">
        <v>381</v>
      </c>
      <c r="BL383">
        <v>20</v>
      </c>
      <c r="BM383">
        <v>3.5</v>
      </c>
    </row>
    <row r="384" spans="1:65" x14ac:dyDescent="0.45">
      <c r="A384" s="33"/>
      <c r="B384" s="32">
        <v>10</v>
      </c>
      <c r="C384" s="32">
        <v>382</v>
      </c>
      <c r="D384" s="32">
        <v>60</v>
      </c>
      <c r="E384" s="32">
        <v>60</v>
      </c>
      <c r="F384" s="32">
        <v>60</v>
      </c>
      <c r="G384" s="32">
        <v>60</v>
      </c>
      <c r="H384" s="32">
        <v>48</v>
      </c>
      <c r="I384" s="32">
        <v>48</v>
      </c>
      <c r="J384" s="32">
        <v>48</v>
      </c>
      <c r="K384" s="32"/>
      <c r="L384" s="32"/>
      <c r="M384" s="39"/>
      <c r="N384" s="43">
        <f t="shared" si="10"/>
        <v>7</v>
      </c>
      <c r="O384" s="33"/>
      <c r="P384" s="32">
        <v>10</v>
      </c>
      <c r="Q384" s="32">
        <v>382</v>
      </c>
      <c r="R384" s="32">
        <v>120</v>
      </c>
      <c r="S384" s="32">
        <v>120</v>
      </c>
      <c r="T384" s="32">
        <v>96</v>
      </c>
      <c r="U384" s="32">
        <v>48</v>
      </c>
      <c r="V384" s="32"/>
      <c r="W384" s="32"/>
      <c r="X384">
        <f t="shared" si="11"/>
        <v>4</v>
      </c>
      <c r="BK384" s="32">
        <v>382</v>
      </c>
      <c r="BL384">
        <v>20</v>
      </c>
      <c r="BM384">
        <v>3.5</v>
      </c>
    </row>
    <row r="385" spans="1:65" x14ac:dyDescent="0.45">
      <c r="A385" s="33"/>
      <c r="B385" s="32">
        <v>11</v>
      </c>
      <c r="C385" s="32">
        <v>383</v>
      </c>
      <c r="D385" s="32">
        <v>60</v>
      </c>
      <c r="E385" s="32">
        <v>60</v>
      </c>
      <c r="F385" s="32">
        <v>60</v>
      </c>
      <c r="G385" s="32">
        <v>60</v>
      </c>
      <c r="H385" s="32">
        <v>48</v>
      </c>
      <c r="I385" s="32">
        <v>48</v>
      </c>
      <c r="J385" s="32">
        <v>48</v>
      </c>
      <c r="K385" s="32"/>
      <c r="L385" s="32"/>
      <c r="M385" s="39"/>
      <c r="N385" s="43">
        <f t="shared" si="10"/>
        <v>7</v>
      </c>
      <c r="O385" s="33"/>
      <c r="P385" s="32">
        <v>11</v>
      </c>
      <c r="Q385" s="32">
        <v>383</v>
      </c>
      <c r="R385" s="32">
        <v>120</v>
      </c>
      <c r="S385" s="32">
        <v>120</v>
      </c>
      <c r="T385" s="32">
        <v>96</v>
      </c>
      <c r="U385" s="32">
        <v>48</v>
      </c>
      <c r="V385" s="32"/>
      <c r="W385" s="32"/>
      <c r="X385">
        <f t="shared" si="11"/>
        <v>4</v>
      </c>
      <c r="BK385" s="32">
        <v>383</v>
      </c>
      <c r="BL385">
        <v>20</v>
      </c>
      <c r="BM385">
        <v>3.5</v>
      </c>
    </row>
    <row r="386" spans="1:65" x14ac:dyDescent="0.45">
      <c r="A386" s="33">
        <v>32</v>
      </c>
      <c r="B386" s="32"/>
      <c r="C386" s="32">
        <v>384</v>
      </c>
      <c r="D386" s="32">
        <v>60</v>
      </c>
      <c r="E386" s="32">
        <v>60</v>
      </c>
      <c r="F386" s="32">
        <v>60</v>
      </c>
      <c r="G386" s="32">
        <v>60</v>
      </c>
      <c r="H386" s="32">
        <v>48</v>
      </c>
      <c r="I386" s="32">
        <v>48</v>
      </c>
      <c r="J386" s="32">
        <v>48</v>
      </c>
      <c r="K386" s="32"/>
      <c r="L386" s="32"/>
      <c r="M386" s="39"/>
      <c r="N386" s="43">
        <f t="shared" si="10"/>
        <v>7</v>
      </c>
      <c r="O386" s="33">
        <v>32</v>
      </c>
      <c r="P386" s="32"/>
      <c r="Q386" s="32">
        <v>384</v>
      </c>
      <c r="R386" s="32">
        <v>120</v>
      </c>
      <c r="S386" s="32">
        <v>120</v>
      </c>
      <c r="T386" s="32">
        <v>96</v>
      </c>
      <c r="U386" s="32">
        <v>48</v>
      </c>
      <c r="V386" s="32"/>
      <c r="W386" s="32"/>
      <c r="X386">
        <f t="shared" si="11"/>
        <v>4</v>
      </c>
      <c r="BK386" s="32">
        <v>384</v>
      </c>
      <c r="BL386">
        <v>20</v>
      </c>
      <c r="BM386">
        <v>3.5</v>
      </c>
    </row>
    <row r="387" spans="1:65" x14ac:dyDescent="0.45">
      <c r="A387" s="33"/>
      <c r="B387" s="32">
        <v>1</v>
      </c>
      <c r="C387" s="32">
        <v>385</v>
      </c>
      <c r="D387" s="32">
        <v>60</v>
      </c>
      <c r="E387" s="32">
        <v>60</v>
      </c>
      <c r="F387" s="32">
        <v>60</v>
      </c>
      <c r="G387" s="32">
        <v>60</v>
      </c>
      <c r="H387" s="32">
        <v>60</v>
      </c>
      <c r="I387" s="32">
        <v>48</v>
      </c>
      <c r="J387" s="32">
        <v>48</v>
      </c>
      <c r="K387" s="32"/>
      <c r="L387" s="32"/>
      <c r="M387" s="39"/>
      <c r="N387" s="43">
        <f t="shared" si="10"/>
        <v>7</v>
      </c>
      <c r="O387" s="33"/>
      <c r="P387" s="32">
        <v>1</v>
      </c>
      <c r="Q387" s="32">
        <v>385</v>
      </c>
      <c r="R387" s="32">
        <v>120</v>
      </c>
      <c r="S387" s="32">
        <v>120</v>
      </c>
      <c r="T387" s="32">
        <v>96</v>
      </c>
      <c r="U387" s="32">
        <v>60</v>
      </c>
      <c r="V387" s="32"/>
      <c r="W387" s="32"/>
      <c r="X387">
        <f t="shared" si="11"/>
        <v>4</v>
      </c>
      <c r="BK387" s="32">
        <v>385</v>
      </c>
      <c r="BL387">
        <v>20</v>
      </c>
      <c r="BM387">
        <v>3.5</v>
      </c>
    </row>
    <row r="388" spans="1:65" x14ac:dyDescent="0.45">
      <c r="A388" s="33"/>
      <c r="B388" s="32">
        <v>2</v>
      </c>
      <c r="C388" s="32">
        <v>386</v>
      </c>
      <c r="D388" s="32">
        <v>60</v>
      </c>
      <c r="E388" s="32">
        <v>60</v>
      </c>
      <c r="F388" s="32">
        <v>60</v>
      </c>
      <c r="G388" s="32">
        <v>60</v>
      </c>
      <c r="H388" s="32">
        <v>60</v>
      </c>
      <c r="I388" s="32">
        <v>48</v>
      </c>
      <c r="J388" s="32">
        <v>48</v>
      </c>
      <c r="K388" s="32"/>
      <c r="L388" s="32"/>
      <c r="M388" s="39"/>
      <c r="N388" s="43">
        <f t="shared" ref="N388:N451" si="12">COUNT(D388:M388)</f>
        <v>7</v>
      </c>
      <c r="O388" s="33"/>
      <c r="P388" s="32">
        <v>2</v>
      </c>
      <c r="Q388" s="32">
        <v>386</v>
      </c>
      <c r="R388" s="32">
        <v>120</v>
      </c>
      <c r="S388" s="32">
        <v>120</v>
      </c>
      <c r="T388" s="32">
        <v>96</v>
      </c>
      <c r="U388" s="32">
        <v>60</v>
      </c>
      <c r="V388" s="32"/>
      <c r="W388" s="32"/>
      <c r="X388">
        <f t="shared" ref="X388:X451" si="13">COUNT(R388:W388)</f>
        <v>4</v>
      </c>
      <c r="BK388" s="32">
        <v>386</v>
      </c>
      <c r="BL388">
        <v>20</v>
      </c>
      <c r="BM388">
        <v>3.5</v>
      </c>
    </row>
    <row r="389" spans="1:65" x14ac:dyDescent="0.45">
      <c r="A389" s="33"/>
      <c r="B389" s="32">
        <v>3</v>
      </c>
      <c r="C389" s="32">
        <v>387</v>
      </c>
      <c r="D389" s="32">
        <v>60</v>
      </c>
      <c r="E389" s="32">
        <v>60</v>
      </c>
      <c r="F389" s="32">
        <v>60</v>
      </c>
      <c r="G389" s="32">
        <v>60</v>
      </c>
      <c r="H389" s="32">
        <v>60</v>
      </c>
      <c r="I389" s="32">
        <v>48</v>
      </c>
      <c r="J389" s="32">
        <v>48</v>
      </c>
      <c r="K389" s="32"/>
      <c r="L389" s="32"/>
      <c r="M389" s="39"/>
      <c r="N389" s="43">
        <f t="shared" si="12"/>
        <v>7</v>
      </c>
      <c r="O389" s="33"/>
      <c r="P389" s="32">
        <v>3</v>
      </c>
      <c r="Q389" s="32">
        <v>387</v>
      </c>
      <c r="R389" s="32">
        <v>120</v>
      </c>
      <c r="S389" s="32">
        <v>120</v>
      </c>
      <c r="T389" s="32">
        <v>96</v>
      </c>
      <c r="U389" s="32">
        <v>60</v>
      </c>
      <c r="V389" s="32"/>
      <c r="W389" s="32"/>
      <c r="X389">
        <f t="shared" si="13"/>
        <v>4</v>
      </c>
      <c r="BK389" s="32">
        <v>387</v>
      </c>
      <c r="BL389">
        <v>20</v>
      </c>
      <c r="BM389">
        <v>3.5</v>
      </c>
    </row>
    <row r="390" spans="1:65" x14ac:dyDescent="0.45">
      <c r="A390" s="33"/>
      <c r="B390" s="32">
        <v>4</v>
      </c>
      <c r="C390" s="32">
        <v>388</v>
      </c>
      <c r="D390" s="32">
        <v>60</v>
      </c>
      <c r="E390" s="32">
        <v>60</v>
      </c>
      <c r="F390" s="32">
        <v>60</v>
      </c>
      <c r="G390" s="32">
        <v>60</v>
      </c>
      <c r="H390" s="32">
        <v>60</v>
      </c>
      <c r="I390" s="32">
        <v>48</v>
      </c>
      <c r="J390" s="32">
        <v>48</v>
      </c>
      <c r="K390" s="32"/>
      <c r="L390" s="32"/>
      <c r="M390" s="39"/>
      <c r="N390" s="43">
        <f t="shared" si="12"/>
        <v>7</v>
      </c>
      <c r="O390" s="33"/>
      <c r="P390" s="32">
        <v>4</v>
      </c>
      <c r="Q390" s="32">
        <v>388</v>
      </c>
      <c r="R390" s="32">
        <v>120</v>
      </c>
      <c r="S390" s="32">
        <v>120</v>
      </c>
      <c r="T390" s="32">
        <v>96</v>
      </c>
      <c r="U390" s="32">
        <v>60</v>
      </c>
      <c r="V390" s="32"/>
      <c r="W390" s="32"/>
      <c r="X390">
        <f t="shared" si="13"/>
        <v>4</v>
      </c>
      <c r="BK390" s="32">
        <v>388</v>
      </c>
      <c r="BL390">
        <v>20</v>
      </c>
      <c r="BM390">
        <v>3.5</v>
      </c>
    </row>
    <row r="391" spans="1:65" x14ac:dyDescent="0.45">
      <c r="A391" s="33"/>
      <c r="B391" s="32">
        <v>5</v>
      </c>
      <c r="C391" s="32">
        <v>389</v>
      </c>
      <c r="D391" s="32">
        <v>60</v>
      </c>
      <c r="E391" s="32">
        <v>60</v>
      </c>
      <c r="F391" s="32">
        <v>60</v>
      </c>
      <c r="G391" s="32">
        <v>60</v>
      </c>
      <c r="H391" s="32">
        <v>60</v>
      </c>
      <c r="I391" s="32">
        <v>48</v>
      </c>
      <c r="J391" s="32">
        <v>48</v>
      </c>
      <c r="K391" s="32"/>
      <c r="L391" s="32"/>
      <c r="M391" s="39"/>
      <c r="N391" s="43">
        <f t="shared" si="12"/>
        <v>7</v>
      </c>
      <c r="O391" s="33"/>
      <c r="P391" s="32">
        <v>5</v>
      </c>
      <c r="Q391" s="32">
        <v>389</v>
      </c>
      <c r="R391" s="32">
        <v>120</v>
      </c>
      <c r="S391" s="32">
        <v>120</v>
      </c>
      <c r="T391" s="32">
        <v>96</v>
      </c>
      <c r="U391" s="32">
        <v>60</v>
      </c>
      <c r="V391" s="32"/>
      <c r="W391" s="32"/>
      <c r="X391">
        <f t="shared" si="13"/>
        <v>4</v>
      </c>
      <c r="BK391" s="32">
        <v>389</v>
      </c>
      <c r="BL391">
        <v>20</v>
      </c>
      <c r="BM391">
        <v>3.5</v>
      </c>
    </row>
    <row r="392" spans="1:65" x14ac:dyDescent="0.45">
      <c r="A392" s="33"/>
      <c r="B392" s="32">
        <v>6</v>
      </c>
      <c r="C392" s="32">
        <v>390</v>
      </c>
      <c r="D392" s="32">
        <v>60</v>
      </c>
      <c r="E392" s="32">
        <v>60</v>
      </c>
      <c r="F392" s="32">
        <v>60</v>
      </c>
      <c r="G392" s="32">
        <v>60</v>
      </c>
      <c r="H392" s="32">
        <v>60</v>
      </c>
      <c r="I392" s="32">
        <v>48</v>
      </c>
      <c r="J392" s="32">
        <v>48</v>
      </c>
      <c r="K392" s="32"/>
      <c r="L392" s="32"/>
      <c r="M392" s="39"/>
      <c r="N392" s="43">
        <f t="shared" si="12"/>
        <v>7</v>
      </c>
      <c r="O392" s="33"/>
      <c r="P392" s="32">
        <v>6</v>
      </c>
      <c r="Q392" s="32">
        <v>390</v>
      </c>
      <c r="R392" s="32">
        <v>120</v>
      </c>
      <c r="S392" s="32">
        <v>120</v>
      </c>
      <c r="T392" s="32">
        <v>96</v>
      </c>
      <c r="U392" s="32">
        <v>60</v>
      </c>
      <c r="V392" s="32"/>
      <c r="W392" s="32"/>
      <c r="X392">
        <f t="shared" si="13"/>
        <v>4</v>
      </c>
      <c r="BK392" s="32">
        <v>390</v>
      </c>
      <c r="BL392">
        <v>20</v>
      </c>
      <c r="BM392">
        <v>3.5</v>
      </c>
    </row>
    <row r="393" spans="1:65" x14ac:dyDescent="0.45">
      <c r="A393" s="33"/>
      <c r="B393" s="32">
        <v>7</v>
      </c>
      <c r="C393" s="32">
        <v>391</v>
      </c>
      <c r="D393" s="32">
        <v>60</v>
      </c>
      <c r="E393" s="32">
        <v>60</v>
      </c>
      <c r="F393" s="32">
        <v>60</v>
      </c>
      <c r="G393" s="32">
        <v>60</v>
      </c>
      <c r="H393" s="32">
        <v>60</v>
      </c>
      <c r="I393" s="32">
        <v>48</v>
      </c>
      <c r="J393" s="32">
        <v>48</v>
      </c>
      <c r="K393" s="32"/>
      <c r="L393" s="32"/>
      <c r="M393" s="39"/>
      <c r="N393" s="43">
        <f t="shared" si="12"/>
        <v>7</v>
      </c>
      <c r="O393" s="33"/>
      <c r="P393" s="32">
        <v>7</v>
      </c>
      <c r="Q393" s="32">
        <v>391</v>
      </c>
      <c r="R393" s="32">
        <v>120</v>
      </c>
      <c r="S393" s="32">
        <v>120</v>
      </c>
      <c r="T393" s="32">
        <v>96</v>
      </c>
      <c r="U393" s="32">
        <v>60</v>
      </c>
      <c r="V393" s="32"/>
      <c r="W393" s="32"/>
      <c r="X393">
        <f t="shared" si="13"/>
        <v>4</v>
      </c>
      <c r="BK393" s="32">
        <v>391</v>
      </c>
      <c r="BL393">
        <v>20</v>
      </c>
      <c r="BM393">
        <v>3.5</v>
      </c>
    </row>
    <row r="394" spans="1:65" x14ac:dyDescent="0.45">
      <c r="A394" s="33"/>
      <c r="B394" s="32">
        <v>8</v>
      </c>
      <c r="C394" s="32">
        <v>392</v>
      </c>
      <c r="D394" s="32">
        <v>60</v>
      </c>
      <c r="E394" s="32">
        <v>60</v>
      </c>
      <c r="F394" s="32">
        <v>60</v>
      </c>
      <c r="G394" s="32">
        <v>60</v>
      </c>
      <c r="H394" s="32">
        <v>60</v>
      </c>
      <c r="I394" s="32">
        <v>48</v>
      </c>
      <c r="J394" s="32">
        <v>48</v>
      </c>
      <c r="K394" s="32"/>
      <c r="L394" s="32"/>
      <c r="M394" s="39"/>
      <c r="N394" s="43">
        <f t="shared" si="12"/>
        <v>7</v>
      </c>
      <c r="O394" s="33"/>
      <c r="P394" s="32">
        <v>8</v>
      </c>
      <c r="Q394" s="32">
        <v>392</v>
      </c>
      <c r="R394" s="32">
        <v>120</v>
      </c>
      <c r="S394" s="32">
        <v>120</v>
      </c>
      <c r="T394" s="32">
        <v>96</v>
      </c>
      <c r="U394" s="32">
        <v>60</v>
      </c>
      <c r="V394" s="32"/>
      <c r="W394" s="32"/>
      <c r="X394">
        <f t="shared" si="13"/>
        <v>4</v>
      </c>
      <c r="BK394" s="32">
        <v>392</v>
      </c>
      <c r="BL394">
        <v>20</v>
      </c>
      <c r="BM394">
        <v>3.5</v>
      </c>
    </row>
    <row r="395" spans="1:65" x14ac:dyDescent="0.45">
      <c r="A395" s="33"/>
      <c r="B395" s="32">
        <v>9</v>
      </c>
      <c r="C395" s="32">
        <v>393</v>
      </c>
      <c r="D395" s="32">
        <v>60</v>
      </c>
      <c r="E395" s="32">
        <v>60</v>
      </c>
      <c r="F395" s="32">
        <v>60</v>
      </c>
      <c r="G395" s="32">
        <v>60</v>
      </c>
      <c r="H395" s="32">
        <v>60</v>
      </c>
      <c r="I395" s="32">
        <v>48</v>
      </c>
      <c r="J395" s="32">
        <v>48</v>
      </c>
      <c r="K395" s="32"/>
      <c r="L395" s="32"/>
      <c r="M395" s="39"/>
      <c r="N395" s="43">
        <f t="shared" si="12"/>
        <v>7</v>
      </c>
      <c r="O395" s="33"/>
      <c r="P395" s="32">
        <v>9</v>
      </c>
      <c r="Q395" s="32">
        <v>393</v>
      </c>
      <c r="R395" s="32">
        <v>120</v>
      </c>
      <c r="S395" s="32">
        <v>120</v>
      </c>
      <c r="T395" s="32">
        <v>96</v>
      </c>
      <c r="U395" s="32">
        <v>60</v>
      </c>
      <c r="V395" s="32"/>
      <c r="W395" s="32"/>
      <c r="X395">
        <f t="shared" si="13"/>
        <v>4</v>
      </c>
      <c r="BK395" s="32">
        <v>393</v>
      </c>
      <c r="BL395">
        <v>20</v>
      </c>
      <c r="BM395">
        <v>3.5</v>
      </c>
    </row>
    <row r="396" spans="1:65" x14ac:dyDescent="0.45">
      <c r="A396" s="33"/>
      <c r="B396" s="32">
        <v>10</v>
      </c>
      <c r="C396" s="32">
        <v>394</v>
      </c>
      <c r="D396" s="32">
        <v>60</v>
      </c>
      <c r="E396" s="32">
        <v>60</v>
      </c>
      <c r="F396" s="32">
        <v>60</v>
      </c>
      <c r="G396" s="32">
        <v>60</v>
      </c>
      <c r="H396" s="32">
        <v>60</v>
      </c>
      <c r="I396" s="32">
        <v>48</v>
      </c>
      <c r="J396" s="32">
        <v>48</v>
      </c>
      <c r="K396" s="32"/>
      <c r="L396" s="32"/>
      <c r="M396" s="39"/>
      <c r="N396" s="43">
        <f t="shared" si="12"/>
        <v>7</v>
      </c>
      <c r="O396" s="33"/>
      <c r="P396" s="32">
        <v>10</v>
      </c>
      <c r="Q396" s="32">
        <v>394</v>
      </c>
      <c r="R396" s="32">
        <v>120</v>
      </c>
      <c r="S396" s="32">
        <v>120</v>
      </c>
      <c r="T396" s="32">
        <v>96</v>
      </c>
      <c r="U396" s="32">
        <v>60</v>
      </c>
      <c r="V396" s="32"/>
      <c r="W396" s="32"/>
      <c r="X396">
        <f t="shared" si="13"/>
        <v>4</v>
      </c>
      <c r="BK396" s="32">
        <v>394</v>
      </c>
      <c r="BL396">
        <v>20</v>
      </c>
      <c r="BM396">
        <v>3.5</v>
      </c>
    </row>
    <row r="397" spans="1:65" x14ac:dyDescent="0.45">
      <c r="A397" s="33"/>
      <c r="B397" s="32">
        <v>11</v>
      </c>
      <c r="C397" s="32">
        <v>395</v>
      </c>
      <c r="D397" s="32">
        <v>60</v>
      </c>
      <c r="E397" s="32">
        <v>60</v>
      </c>
      <c r="F397" s="32">
        <v>60</v>
      </c>
      <c r="G397" s="32">
        <v>60</v>
      </c>
      <c r="H397" s="32">
        <v>60</v>
      </c>
      <c r="I397" s="32">
        <v>48</v>
      </c>
      <c r="J397" s="32">
        <v>48</v>
      </c>
      <c r="K397" s="32"/>
      <c r="L397" s="32"/>
      <c r="M397" s="39"/>
      <c r="N397" s="43">
        <f t="shared" si="12"/>
        <v>7</v>
      </c>
      <c r="O397" s="33"/>
      <c r="P397" s="32">
        <v>11</v>
      </c>
      <c r="Q397" s="32">
        <v>395</v>
      </c>
      <c r="R397" s="32">
        <v>120</v>
      </c>
      <c r="S397" s="32">
        <v>120</v>
      </c>
      <c r="T397" s="32">
        <v>96</v>
      </c>
      <c r="U397" s="32">
        <v>60</v>
      </c>
      <c r="V397" s="32"/>
      <c r="W397" s="32"/>
      <c r="X397">
        <f t="shared" si="13"/>
        <v>4</v>
      </c>
      <c r="BK397" s="32">
        <v>395</v>
      </c>
      <c r="BL397">
        <v>20</v>
      </c>
      <c r="BM397">
        <v>3.5</v>
      </c>
    </row>
    <row r="398" spans="1:65" x14ac:dyDescent="0.45">
      <c r="A398" s="33">
        <v>33</v>
      </c>
      <c r="B398" s="32"/>
      <c r="C398" s="32">
        <v>396</v>
      </c>
      <c r="D398" s="32">
        <v>60</v>
      </c>
      <c r="E398" s="32">
        <v>60</v>
      </c>
      <c r="F398" s="32">
        <v>60</v>
      </c>
      <c r="G398" s="32">
        <v>60</v>
      </c>
      <c r="H398" s="32">
        <v>60</v>
      </c>
      <c r="I398" s="32">
        <v>48</v>
      </c>
      <c r="J398" s="32">
        <v>48</v>
      </c>
      <c r="K398" s="32"/>
      <c r="L398" s="32"/>
      <c r="M398" s="39"/>
      <c r="N398" s="43">
        <f t="shared" si="12"/>
        <v>7</v>
      </c>
      <c r="O398" s="33">
        <v>33</v>
      </c>
      <c r="P398" s="32"/>
      <c r="Q398" s="32">
        <v>396</v>
      </c>
      <c r="R398" s="32">
        <v>120</v>
      </c>
      <c r="S398" s="32">
        <v>120</v>
      </c>
      <c r="T398" s="32">
        <v>96</v>
      </c>
      <c r="U398" s="32">
        <v>60</v>
      </c>
      <c r="V398" s="32"/>
      <c r="W398" s="32"/>
      <c r="X398">
        <f t="shared" si="13"/>
        <v>4</v>
      </c>
      <c r="BK398" s="32">
        <v>396</v>
      </c>
      <c r="BL398">
        <v>20</v>
      </c>
      <c r="BM398">
        <v>3.5</v>
      </c>
    </row>
    <row r="399" spans="1:65" x14ac:dyDescent="0.45">
      <c r="A399" s="33"/>
      <c r="B399" s="32">
        <v>1</v>
      </c>
      <c r="C399" s="32">
        <v>397</v>
      </c>
      <c r="D399" s="32">
        <v>60</v>
      </c>
      <c r="E399" s="32">
        <v>60</v>
      </c>
      <c r="F399" s="32">
        <v>60</v>
      </c>
      <c r="G399" s="32">
        <v>60</v>
      </c>
      <c r="H399" s="32">
        <v>60</v>
      </c>
      <c r="I399" s="32">
        <v>60</v>
      </c>
      <c r="J399" s="32">
        <v>48</v>
      </c>
      <c r="K399" s="32"/>
      <c r="L399" s="32"/>
      <c r="M399" s="39"/>
      <c r="N399" s="43">
        <f t="shared" si="12"/>
        <v>7</v>
      </c>
      <c r="O399" s="33"/>
      <c r="P399" s="32">
        <v>1</v>
      </c>
      <c r="Q399" s="32">
        <v>397</v>
      </c>
      <c r="R399" s="32">
        <v>120</v>
      </c>
      <c r="S399" s="32">
        <v>120</v>
      </c>
      <c r="T399" s="32">
        <v>120</v>
      </c>
      <c r="U399" s="32">
        <v>48</v>
      </c>
      <c r="V399" s="32"/>
      <c r="W399" s="32"/>
      <c r="X399">
        <f t="shared" si="13"/>
        <v>4</v>
      </c>
      <c r="BK399" s="32">
        <v>397</v>
      </c>
      <c r="BL399">
        <v>20</v>
      </c>
      <c r="BM399">
        <v>3.5</v>
      </c>
    </row>
    <row r="400" spans="1:65" x14ac:dyDescent="0.45">
      <c r="A400" s="33"/>
      <c r="B400" s="32">
        <v>2</v>
      </c>
      <c r="C400" s="32">
        <v>398</v>
      </c>
      <c r="D400" s="32">
        <v>60</v>
      </c>
      <c r="E400" s="32">
        <v>60</v>
      </c>
      <c r="F400" s="32">
        <v>60</v>
      </c>
      <c r="G400" s="32">
        <v>60</v>
      </c>
      <c r="H400" s="32">
        <v>60</v>
      </c>
      <c r="I400" s="32">
        <v>60</v>
      </c>
      <c r="J400" s="32">
        <v>48</v>
      </c>
      <c r="K400" s="32"/>
      <c r="L400" s="32"/>
      <c r="M400" s="39"/>
      <c r="N400" s="43">
        <f t="shared" si="12"/>
        <v>7</v>
      </c>
      <c r="O400" s="33"/>
      <c r="P400" s="32">
        <v>2</v>
      </c>
      <c r="Q400" s="32">
        <v>398</v>
      </c>
      <c r="R400" s="32">
        <v>120</v>
      </c>
      <c r="S400" s="32">
        <v>120</v>
      </c>
      <c r="T400" s="32">
        <v>120</v>
      </c>
      <c r="U400" s="32">
        <v>48</v>
      </c>
      <c r="V400" s="32"/>
      <c r="W400" s="32"/>
      <c r="X400">
        <f t="shared" si="13"/>
        <v>4</v>
      </c>
      <c r="BK400" s="32">
        <v>398</v>
      </c>
      <c r="BL400">
        <v>20</v>
      </c>
      <c r="BM400">
        <v>3.5</v>
      </c>
    </row>
    <row r="401" spans="1:65" x14ac:dyDescent="0.45">
      <c r="A401" s="33"/>
      <c r="B401" s="32">
        <v>3</v>
      </c>
      <c r="C401" s="32">
        <v>399</v>
      </c>
      <c r="D401" s="32">
        <v>60</v>
      </c>
      <c r="E401" s="32">
        <v>60</v>
      </c>
      <c r="F401" s="32">
        <v>60</v>
      </c>
      <c r="G401" s="32">
        <v>60</v>
      </c>
      <c r="H401" s="32">
        <v>60</v>
      </c>
      <c r="I401" s="32">
        <v>60</v>
      </c>
      <c r="J401" s="32">
        <v>48</v>
      </c>
      <c r="K401" s="32"/>
      <c r="L401" s="32"/>
      <c r="M401" s="39"/>
      <c r="N401" s="43">
        <f t="shared" si="12"/>
        <v>7</v>
      </c>
      <c r="O401" s="33"/>
      <c r="P401" s="32">
        <v>3</v>
      </c>
      <c r="Q401" s="32">
        <v>399</v>
      </c>
      <c r="R401" s="32">
        <v>120</v>
      </c>
      <c r="S401" s="32">
        <v>120</v>
      </c>
      <c r="T401" s="32">
        <v>120</v>
      </c>
      <c r="U401" s="32">
        <v>48</v>
      </c>
      <c r="V401" s="32"/>
      <c r="W401" s="32"/>
      <c r="X401">
        <f t="shared" si="13"/>
        <v>4</v>
      </c>
      <c r="BK401" s="32">
        <v>399</v>
      </c>
      <c r="BL401">
        <v>20</v>
      </c>
      <c r="BM401">
        <v>3.5</v>
      </c>
    </row>
    <row r="402" spans="1:65" x14ac:dyDescent="0.45">
      <c r="A402" s="33"/>
      <c r="B402" s="32">
        <v>4</v>
      </c>
      <c r="C402" s="32">
        <v>400</v>
      </c>
      <c r="D402" s="32">
        <v>60</v>
      </c>
      <c r="E402" s="32">
        <v>60</v>
      </c>
      <c r="F402" s="32">
        <v>60</v>
      </c>
      <c r="G402" s="32">
        <v>60</v>
      </c>
      <c r="H402" s="32">
        <v>60</v>
      </c>
      <c r="I402" s="32">
        <v>60</v>
      </c>
      <c r="J402" s="32">
        <v>48</v>
      </c>
      <c r="K402" s="32"/>
      <c r="L402" s="32"/>
      <c r="M402" s="39"/>
      <c r="N402" s="43">
        <f t="shared" si="12"/>
        <v>7</v>
      </c>
      <c r="O402" s="33"/>
      <c r="P402" s="32">
        <v>4</v>
      </c>
      <c r="Q402" s="32">
        <v>400</v>
      </c>
      <c r="R402" s="32">
        <v>120</v>
      </c>
      <c r="S402" s="32">
        <v>120</v>
      </c>
      <c r="T402" s="32">
        <v>120</v>
      </c>
      <c r="U402" s="32">
        <v>48</v>
      </c>
      <c r="V402" s="32"/>
      <c r="W402" s="32"/>
      <c r="X402">
        <f t="shared" si="13"/>
        <v>4</v>
      </c>
      <c r="BK402" s="32">
        <v>400</v>
      </c>
      <c r="BL402">
        <v>20</v>
      </c>
      <c r="BM402">
        <v>3.5</v>
      </c>
    </row>
    <row r="403" spans="1:65" x14ac:dyDescent="0.45">
      <c r="A403" s="33"/>
      <c r="B403" s="32">
        <v>5</v>
      </c>
      <c r="C403" s="32">
        <v>401</v>
      </c>
      <c r="D403" s="32">
        <v>60</v>
      </c>
      <c r="E403" s="32">
        <v>60</v>
      </c>
      <c r="F403" s="32">
        <v>60</v>
      </c>
      <c r="G403" s="32">
        <v>60</v>
      </c>
      <c r="H403" s="32">
        <v>60</v>
      </c>
      <c r="I403" s="32">
        <v>60</v>
      </c>
      <c r="J403" s="32">
        <v>48</v>
      </c>
      <c r="K403" s="32"/>
      <c r="L403" s="32"/>
      <c r="M403" s="39"/>
      <c r="N403" s="43">
        <f t="shared" si="12"/>
        <v>7</v>
      </c>
      <c r="O403" s="33"/>
      <c r="P403" s="32">
        <v>5</v>
      </c>
      <c r="Q403" s="32">
        <v>401</v>
      </c>
      <c r="R403" s="32">
        <v>120</v>
      </c>
      <c r="S403" s="32">
        <v>120</v>
      </c>
      <c r="T403" s="32">
        <v>120</v>
      </c>
      <c r="U403" s="32">
        <v>48</v>
      </c>
      <c r="V403" s="32"/>
      <c r="W403" s="32"/>
      <c r="X403">
        <f t="shared" si="13"/>
        <v>4</v>
      </c>
      <c r="BK403" s="32">
        <v>401</v>
      </c>
      <c r="BL403">
        <v>20</v>
      </c>
      <c r="BM403">
        <v>3.5</v>
      </c>
    </row>
    <row r="404" spans="1:65" x14ac:dyDescent="0.45">
      <c r="A404" s="33"/>
      <c r="B404" s="32">
        <v>6</v>
      </c>
      <c r="C404" s="32">
        <v>402</v>
      </c>
      <c r="D404" s="32">
        <v>60</v>
      </c>
      <c r="E404" s="32">
        <v>60</v>
      </c>
      <c r="F404" s="32">
        <v>60</v>
      </c>
      <c r="G404" s="32">
        <v>60</v>
      </c>
      <c r="H404" s="32">
        <v>60</v>
      </c>
      <c r="I404" s="32">
        <v>60</v>
      </c>
      <c r="J404" s="32">
        <v>48</v>
      </c>
      <c r="K404" s="32"/>
      <c r="L404" s="32"/>
      <c r="M404" s="39"/>
      <c r="N404" s="43">
        <f t="shared" si="12"/>
        <v>7</v>
      </c>
      <c r="O404" s="33"/>
      <c r="P404" s="32">
        <v>6</v>
      </c>
      <c r="Q404" s="32">
        <v>402</v>
      </c>
      <c r="R404" s="32">
        <v>120</v>
      </c>
      <c r="S404" s="32">
        <v>120</v>
      </c>
      <c r="T404" s="32">
        <v>120</v>
      </c>
      <c r="U404" s="32">
        <v>48</v>
      </c>
      <c r="V404" s="32"/>
      <c r="W404" s="32"/>
      <c r="X404">
        <f t="shared" si="13"/>
        <v>4</v>
      </c>
      <c r="BK404" s="32">
        <v>402</v>
      </c>
      <c r="BL404">
        <v>20</v>
      </c>
      <c r="BM404">
        <v>3.5</v>
      </c>
    </row>
    <row r="405" spans="1:65" x14ac:dyDescent="0.45">
      <c r="A405" s="33"/>
      <c r="B405" s="32">
        <v>7</v>
      </c>
      <c r="C405" s="32">
        <v>403</v>
      </c>
      <c r="D405" s="32">
        <v>60</v>
      </c>
      <c r="E405" s="32">
        <v>60</v>
      </c>
      <c r="F405" s="32">
        <v>60</v>
      </c>
      <c r="G405" s="32">
        <v>60</v>
      </c>
      <c r="H405" s="32">
        <v>60</v>
      </c>
      <c r="I405" s="32">
        <v>60</v>
      </c>
      <c r="J405" s="32">
        <v>48</v>
      </c>
      <c r="K405" s="32"/>
      <c r="L405" s="32"/>
      <c r="M405" s="39"/>
      <c r="N405" s="43">
        <f t="shared" si="12"/>
        <v>7</v>
      </c>
      <c r="O405" s="33"/>
      <c r="P405" s="32">
        <v>7</v>
      </c>
      <c r="Q405" s="32">
        <v>403</v>
      </c>
      <c r="R405" s="32">
        <v>120</v>
      </c>
      <c r="S405" s="32">
        <v>120</v>
      </c>
      <c r="T405" s="32">
        <v>120</v>
      </c>
      <c r="U405" s="32">
        <v>48</v>
      </c>
      <c r="V405" s="32"/>
      <c r="W405" s="32"/>
      <c r="X405">
        <f t="shared" si="13"/>
        <v>4</v>
      </c>
      <c r="BK405" s="32">
        <v>403</v>
      </c>
      <c r="BL405">
        <v>20</v>
      </c>
      <c r="BM405">
        <v>3.5</v>
      </c>
    </row>
    <row r="406" spans="1:65" x14ac:dyDescent="0.45">
      <c r="A406" s="33"/>
      <c r="B406" s="32">
        <v>8</v>
      </c>
      <c r="C406" s="32">
        <v>404</v>
      </c>
      <c r="D406" s="32">
        <v>60</v>
      </c>
      <c r="E406" s="32">
        <v>60</v>
      </c>
      <c r="F406" s="32">
        <v>60</v>
      </c>
      <c r="G406" s="32">
        <v>60</v>
      </c>
      <c r="H406" s="32">
        <v>60</v>
      </c>
      <c r="I406" s="32">
        <v>60</v>
      </c>
      <c r="J406" s="32">
        <v>48</v>
      </c>
      <c r="K406" s="32"/>
      <c r="L406" s="32"/>
      <c r="M406" s="39"/>
      <c r="N406" s="43">
        <f t="shared" si="12"/>
        <v>7</v>
      </c>
      <c r="O406" s="33"/>
      <c r="P406" s="32">
        <v>8</v>
      </c>
      <c r="Q406" s="32">
        <v>404</v>
      </c>
      <c r="R406" s="32">
        <v>120</v>
      </c>
      <c r="S406" s="32">
        <v>120</v>
      </c>
      <c r="T406" s="32">
        <v>120</v>
      </c>
      <c r="U406" s="32">
        <v>48</v>
      </c>
      <c r="V406" s="32"/>
      <c r="W406" s="32"/>
      <c r="X406">
        <f t="shared" si="13"/>
        <v>4</v>
      </c>
      <c r="BK406" s="32">
        <v>404</v>
      </c>
      <c r="BL406">
        <v>20</v>
      </c>
      <c r="BM406">
        <v>3.5</v>
      </c>
    </row>
    <row r="407" spans="1:65" x14ac:dyDescent="0.45">
      <c r="A407" s="33"/>
      <c r="B407" s="32">
        <v>9</v>
      </c>
      <c r="C407" s="32">
        <v>405</v>
      </c>
      <c r="D407" s="32">
        <v>60</v>
      </c>
      <c r="E407" s="32">
        <v>60</v>
      </c>
      <c r="F407" s="32">
        <v>60</v>
      </c>
      <c r="G407" s="32">
        <v>60</v>
      </c>
      <c r="H407" s="32">
        <v>60</v>
      </c>
      <c r="I407" s="32">
        <v>60</v>
      </c>
      <c r="J407" s="32">
        <v>48</v>
      </c>
      <c r="K407" s="32"/>
      <c r="L407" s="32"/>
      <c r="M407" s="39"/>
      <c r="N407" s="43">
        <f t="shared" si="12"/>
        <v>7</v>
      </c>
      <c r="O407" s="33"/>
      <c r="P407" s="32">
        <v>9</v>
      </c>
      <c r="Q407" s="32">
        <v>405</v>
      </c>
      <c r="R407" s="32">
        <v>120</v>
      </c>
      <c r="S407" s="32">
        <v>120</v>
      </c>
      <c r="T407" s="32">
        <v>120</v>
      </c>
      <c r="U407" s="32">
        <v>48</v>
      </c>
      <c r="V407" s="32"/>
      <c r="W407" s="32"/>
      <c r="X407">
        <f t="shared" si="13"/>
        <v>4</v>
      </c>
      <c r="BK407" s="32">
        <v>405</v>
      </c>
      <c r="BL407">
        <v>20</v>
      </c>
      <c r="BM407">
        <v>3.5</v>
      </c>
    </row>
    <row r="408" spans="1:65" x14ac:dyDescent="0.45">
      <c r="A408" s="33"/>
      <c r="B408" s="32">
        <v>10</v>
      </c>
      <c r="C408" s="32">
        <v>406</v>
      </c>
      <c r="D408" s="32">
        <v>60</v>
      </c>
      <c r="E408" s="32">
        <v>60</v>
      </c>
      <c r="F408" s="32">
        <v>60</v>
      </c>
      <c r="G408" s="32">
        <v>60</v>
      </c>
      <c r="H408" s="32">
        <v>60</v>
      </c>
      <c r="I408" s="32">
        <v>60</v>
      </c>
      <c r="J408" s="32">
        <v>48</v>
      </c>
      <c r="K408" s="32"/>
      <c r="L408" s="32"/>
      <c r="M408" s="39"/>
      <c r="N408" s="43">
        <f t="shared" si="12"/>
        <v>7</v>
      </c>
      <c r="O408" s="33"/>
      <c r="P408" s="32">
        <v>10</v>
      </c>
      <c r="Q408" s="32">
        <v>406</v>
      </c>
      <c r="R408" s="32">
        <v>120</v>
      </c>
      <c r="S408" s="32">
        <v>120</v>
      </c>
      <c r="T408" s="32">
        <v>120</v>
      </c>
      <c r="U408" s="32">
        <v>48</v>
      </c>
      <c r="V408" s="32"/>
      <c r="W408" s="32"/>
      <c r="X408">
        <f t="shared" si="13"/>
        <v>4</v>
      </c>
      <c r="BK408" s="32">
        <v>406</v>
      </c>
      <c r="BL408">
        <v>20</v>
      </c>
      <c r="BM408">
        <v>3.5</v>
      </c>
    </row>
    <row r="409" spans="1:65" x14ac:dyDescent="0.45">
      <c r="A409" s="33"/>
      <c r="B409" s="32">
        <v>11</v>
      </c>
      <c r="C409" s="32">
        <v>407</v>
      </c>
      <c r="D409" s="32">
        <v>60</v>
      </c>
      <c r="E409" s="32">
        <v>60</v>
      </c>
      <c r="F409" s="32">
        <v>60</v>
      </c>
      <c r="G409" s="32">
        <v>60</v>
      </c>
      <c r="H409" s="32">
        <v>60</v>
      </c>
      <c r="I409" s="32">
        <v>60</v>
      </c>
      <c r="J409" s="32">
        <v>48</v>
      </c>
      <c r="K409" s="32"/>
      <c r="L409" s="32"/>
      <c r="M409" s="39"/>
      <c r="N409" s="43">
        <f t="shared" si="12"/>
        <v>7</v>
      </c>
      <c r="O409" s="33"/>
      <c r="P409" s="32">
        <v>11</v>
      </c>
      <c r="Q409" s="32">
        <v>407</v>
      </c>
      <c r="R409" s="32">
        <v>120</v>
      </c>
      <c r="S409" s="32">
        <v>120</v>
      </c>
      <c r="T409" s="32">
        <v>120</v>
      </c>
      <c r="U409" s="32">
        <v>48</v>
      </c>
      <c r="V409" s="32"/>
      <c r="W409" s="32"/>
      <c r="X409">
        <f t="shared" si="13"/>
        <v>4</v>
      </c>
      <c r="BK409" s="32">
        <v>407</v>
      </c>
      <c r="BL409">
        <v>20</v>
      </c>
      <c r="BM409">
        <v>3.5</v>
      </c>
    </row>
    <row r="410" spans="1:65" x14ac:dyDescent="0.45">
      <c r="A410" s="33">
        <v>34</v>
      </c>
      <c r="B410" s="32"/>
      <c r="C410" s="32">
        <v>408</v>
      </c>
      <c r="D410" s="32">
        <v>60</v>
      </c>
      <c r="E410" s="32">
        <v>60</v>
      </c>
      <c r="F410" s="32">
        <v>60</v>
      </c>
      <c r="G410" s="32">
        <v>60</v>
      </c>
      <c r="H410" s="32">
        <v>60</v>
      </c>
      <c r="I410" s="32">
        <v>60</v>
      </c>
      <c r="J410" s="32">
        <v>48</v>
      </c>
      <c r="K410" s="32"/>
      <c r="L410" s="32"/>
      <c r="M410" s="39"/>
      <c r="N410" s="43">
        <f t="shared" si="12"/>
        <v>7</v>
      </c>
      <c r="O410" s="33">
        <v>34</v>
      </c>
      <c r="P410" s="32"/>
      <c r="Q410" s="32">
        <v>408</v>
      </c>
      <c r="R410" s="32">
        <v>120</v>
      </c>
      <c r="S410" s="32">
        <v>120</v>
      </c>
      <c r="T410" s="32">
        <v>120</v>
      </c>
      <c r="U410" s="32">
        <v>48</v>
      </c>
      <c r="V410" s="32"/>
      <c r="W410" s="32"/>
      <c r="X410">
        <f t="shared" si="13"/>
        <v>4</v>
      </c>
      <c r="BK410" s="32">
        <v>408</v>
      </c>
      <c r="BL410">
        <v>20</v>
      </c>
      <c r="BM410">
        <v>3.5</v>
      </c>
    </row>
    <row r="411" spans="1:65" x14ac:dyDescent="0.45">
      <c r="A411" s="33"/>
      <c r="B411" s="32">
        <v>1</v>
      </c>
      <c r="C411" s="32">
        <v>409</v>
      </c>
      <c r="D411" s="32">
        <v>60</v>
      </c>
      <c r="E411" s="32">
        <v>60</v>
      </c>
      <c r="F411" s="32">
        <v>60</v>
      </c>
      <c r="G411" s="32">
        <v>60</v>
      </c>
      <c r="H411" s="32">
        <v>60</v>
      </c>
      <c r="I411" s="32">
        <v>60</v>
      </c>
      <c r="J411" s="32">
        <v>60</v>
      </c>
      <c r="K411" s="32"/>
      <c r="L411" s="32"/>
      <c r="M411" s="39"/>
      <c r="N411" s="43">
        <f t="shared" si="12"/>
        <v>7</v>
      </c>
      <c r="O411" s="33"/>
      <c r="P411" s="32">
        <v>1</v>
      </c>
      <c r="Q411" s="32">
        <v>409</v>
      </c>
      <c r="R411" s="32">
        <v>120</v>
      </c>
      <c r="S411" s="32">
        <v>120</v>
      </c>
      <c r="T411" s="32">
        <v>120</v>
      </c>
      <c r="U411" s="32">
        <v>60</v>
      </c>
      <c r="V411" s="32"/>
      <c r="W411" s="32"/>
      <c r="X411">
        <f t="shared" si="13"/>
        <v>4</v>
      </c>
      <c r="BK411" s="32">
        <v>409</v>
      </c>
      <c r="BL411">
        <v>20</v>
      </c>
      <c r="BM411">
        <v>3.5</v>
      </c>
    </row>
    <row r="412" spans="1:65" x14ac:dyDescent="0.45">
      <c r="A412" s="33"/>
      <c r="B412" s="32">
        <v>2</v>
      </c>
      <c r="C412" s="32">
        <v>410</v>
      </c>
      <c r="D412" s="32">
        <v>60</v>
      </c>
      <c r="E412" s="32">
        <v>60</v>
      </c>
      <c r="F412" s="32">
        <v>60</v>
      </c>
      <c r="G412" s="32">
        <v>60</v>
      </c>
      <c r="H412" s="32">
        <v>60</v>
      </c>
      <c r="I412" s="32">
        <v>60</v>
      </c>
      <c r="J412" s="32">
        <v>60</v>
      </c>
      <c r="K412" s="32"/>
      <c r="L412" s="32"/>
      <c r="M412" s="39"/>
      <c r="N412" s="43">
        <f t="shared" si="12"/>
        <v>7</v>
      </c>
      <c r="O412" s="33"/>
      <c r="P412" s="32">
        <v>2</v>
      </c>
      <c r="Q412" s="32">
        <v>410</v>
      </c>
      <c r="R412" s="32">
        <v>120</v>
      </c>
      <c r="S412" s="32">
        <v>120</v>
      </c>
      <c r="T412" s="32">
        <v>120</v>
      </c>
      <c r="U412" s="32">
        <v>60</v>
      </c>
      <c r="V412" s="32"/>
      <c r="W412" s="32"/>
      <c r="X412">
        <f t="shared" si="13"/>
        <v>4</v>
      </c>
      <c r="BK412" s="32">
        <v>410</v>
      </c>
      <c r="BL412">
        <v>20</v>
      </c>
      <c r="BM412">
        <v>3.5</v>
      </c>
    </row>
    <row r="413" spans="1:65" x14ac:dyDescent="0.45">
      <c r="A413" s="33"/>
      <c r="B413" s="32">
        <v>3</v>
      </c>
      <c r="C413" s="32">
        <v>411</v>
      </c>
      <c r="D413" s="32">
        <v>60</v>
      </c>
      <c r="E413" s="32">
        <v>60</v>
      </c>
      <c r="F413" s="32">
        <v>60</v>
      </c>
      <c r="G413" s="32">
        <v>60</v>
      </c>
      <c r="H413" s="32">
        <v>60</v>
      </c>
      <c r="I413" s="32">
        <v>60</v>
      </c>
      <c r="J413" s="32">
        <v>60</v>
      </c>
      <c r="K413" s="32"/>
      <c r="L413" s="32"/>
      <c r="M413" s="39"/>
      <c r="N413" s="43">
        <f t="shared" si="12"/>
        <v>7</v>
      </c>
      <c r="O413" s="33"/>
      <c r="P413" s="32">
        <v>3</v>
      </c>
      <c r="Q413" s="32">
        <v>411</v>
      </c>
      <c r="R413" s="32">
        <v>120</v>
      </c>
      <c r="S413" s="32">
        <v>120</v>
      </c>
      <c r="T413" s="32">
        <v>120</v>
      </c>
      <c r="U413" s="32">
        <v>60</v>
      </c>
      <c r="V413" s="32"/>
      <c r="W413" s="32"/>
      <c r="X413">
        <f t="shared" si="13"/>
        <v>4</v>
      </c>
      <c r="BK413" s="32">
        <v>411</v>
      </c>
      <c r="BL413">
        <v>20</v>
      </c>
      <c r="BM413">
        <v>3.5</v>
      </c>
    </row>
    <row r="414" spans="1:65" x14ac:dyDescent="0.45">
      <c r="A414" s="33"/>
      <c r="B414" s="32">
        <v>4</v>
      </c>
      <c r="C414" s="32">
        <v>412</v>
      </c>
      <c r="D414" s="32">
        <v>60</v>
      </c>
      <c r="E414" s="32">
        <v>60</v>
      </c>
      <c r="F414" s="32">
        <v>60</v>
      </c>
      <c r="G414" s="32">
        <v>60</v>
      </c>
      <c r="H414" s="32">
        <v>60</v>
      </c>
      <c r="I414" s="32">
        <v>60</v>
      </c>
      <c r="J414" s="32">
        <v>60</v>
      </c>
      <c r="K414" s="32"/>
      <c r="L414" s="32"/>
      <c r="M414" s="39"/>
      <c r="N414" s="43">
        <f t="shared" si="12"/>
        <v>7</v>
      </c>
      <c r="O414" s="33"/>
      <c r="P414" s="32">
        <v>4</v>
      </c>
      <c r="Q414" s="32">
        <v>412</v>
      </c>
      <c r="R414" s="32">
        <v>120</v>
      </c>
      <c r="S414" s="32">
        <v>120</v>
      </c>
      <c r="T414" s="32">
        <v>120</v>
      </c>
      <c r="U414" s="32">
        <v>60</v>
      </c>
      <c r="V414" s="32"/>
      <c r="W414" s="32"/>
      <c r="X414">
        <f t="shared" si="13"/>
        <v>4</v>
      </c>
      <c r="BK414" s="32">
        <v>412</v>
      </c>
      <c r="BL414">
        <v>20</v>
      </c>
      <c r="BM414">
        <v>3.5</v>
      </c>
    </row>
    <row r="415" spans="1:65" x14ac:dyDescent="0.45">
      <c r="A415" s="33"/>
      <c r="B415" s="32">
        <v>5</v>
      </c>
      <c r="C415" s="32">
        <v>413</v>
      </c>
      <c r="D415" s="32">
        <v>60</v>
      </c>
      <c r="E415" s="32">
        <v>60</v>
      </c>
      <c r="F415" s="32">
        <v>60</v>
      </c>
      <c r="G415" s="32">
        <v>60</v>
      </c>
      <c r="H415" s="32">
        <v>60</v>
      </c>
      <c r="I415" s="32">
        <v>60</v>
      </c>
      <c r="J415" s="32">
        <v>60</v>
      </c>
      <c r="K415" s="32"/>
      <c r="L415" s="32"/>
      <c r="M415" s="39"/>
      <c r="N415" s="43">
        <f t="shared" si="12"/>
        <v>7</v>
      </c>
      <c r="O415" s="33"/>
      <c r="P415" s="32">
        <v>5</v>
      </c>
      <c r="Q415" s="32">
        <v>413</v>
      </c>
      <c r="R415" s="32">
        <v>120</v>
      </c>
      <c r="S415" s="32">
        <v>120</v>
      </c>
      <c r="T415" s="32">
        <v>120</v>
      </c>
      <c r="U415" s="32">
        <v>60</v>
      </c>
      <c r="V415" s="32"/>
      <c r="W415" s="32"/>
      <c r="X415">
        <f t="shared" si="13"/>
        <v>4</v>
      </c>
      <c r="BK415" s="32">
        <v>413</v>
      </c>
      <c r="BL415">
        <v>20</v>
      </c>
      <c r="BM415">
        <v>3.5</v>
      </c>
    </row>
    <row r="416" spans="1:65" x14ac:dyDescent="0.45">
      <c r="A416" s="33"/>
      <c r="B416" s="32">
        <v>6</v>
      </c>
      <c r="C416" s="32">
        <v>414</v>
      </c>
      <c r="D416" s="32">
        <v>60</v>
      </c>
      <c r="E416" s="32">
        <v>60</v>
      </c>
      <c r="F416" s="32">
        <v>60</v>
      </c>
      <c r="G416" s="32">
        <v>60</v>
      </c>
      <c r="H416" s="32">
        <v>60</v>
      </c>
      <c r="I416" s="32">
        <v>60</v>
      </c>
      <c r="J416" s="32">
        <v>60</v>
      </c>
      <c r="K416" s="32"/>
      <c r="L416" s="32"/>
      <c r="M416" s="39"/>
      <c r="N416" s="43">
        <f t="shared" si="12"/>
        <v>7</v>
      </c>
      <c r="O416" s="33"/>
      <c r="P416" s="32">
        <v>6</v>
      </c>
      <c r="Q416" s="32">
        <v>414</v>
      </c>
      <c r="R416" s="32">
        <v>120</v>
      </c>
      <c r="S416" s="32">
        <v>120</v>
      </c>
      <c r="T416" s="32">
        <v>120</v>
      </c>
      <c r="U416" s="32">
        <v>60</v>
      </c>
      <c r="V416" s="32"/>
      <c r="W416" s="32"/>
      <c r="X416">
        <f t="shared" si="13"/>
        <v>4</v>
      </c>
      <c r="BK416" s="32">
        <v>414</v>
      </c>
      <c r="BL416">
        <v>20</v>
      </c>
      <c r="BM416">
        <v>3.5</v>
      </c>
    </row>
    <row r="417" spans="1:65" x14ac:dyDescent="0.45">
      <c r="A417" s="33"/>
      <c r="B417" s="32">
        <v>7</v>
      </c>
      <c r="C417" s="32">
        <v>415</v>
      </c>
      <c r="D417" s="32">
        <v>60</v>
      </c>
      <c r="E417" s="32">
        <v>60</v>
      </c>
      <c r="F417" s="32">
        <v>60</v>
      </c>
      <c r="G417" s="32">
        <v>60</v>
      </c>
      <c r="H417" s="32">
        <v>60</v>
      </c>
      <c r="I417" s="32">
        <v>60</v>
      </c>
      <c r="J417" s="32">
        <v>60</v>
      </c>
      <c r="K417" s="32"/>
      <c r="L417" s="32"/>
      <c r="M417" s="39"/>
      <c r="N417" s="43">
        <f t="shared" si="12"/>
        <v>7</v>
      </c>
      <c r="O417" s="33"/>
      <c r="P417" s="32">
        <v>7</v>
      </c>
      <c r="Q417" s="32">
        <v>415</v>
      </c>
      <c r="R417" s="32">
        <v>120</v>
      </c>
      <c r="S417" s="32">
        <v>120</v>
      </c>
      <c r="T417" s="32">
        <v>120</v>
      </c>
      <c r="U417" s="32">
        <v>60</v>
      </c>
      <c r="V417" s="32"/>
      <c r="W417" s="32"/>
      <c r="X417">
        <f t="shared" si="13"/>
        <v>4</v>
      </c>
      <c r="BK417" s="32">
        <v>415</v>
      </c>
      <c r="BL417">
        <v>20</v>
      </c>
      <c r="BM417">
        <v>3.5</v>
      </c>
    </row>
    <row r="418" spans="1:65" x14ac:dyDescent="0.45">
      <c r="A418" s="33"/>
      <c r="B418" s="32">
        <v>8</v>
      </c>
      <c r="C418" s="32">
        <v>416</v>
      </c>
      <c r="D418" s="32">
        <v>60</v>
      </c>
      <c r="E418" s="32">
        <v>60</v>
      </c>
      <c r="F418" s="32">
        <v>60</v>
      </c>
      <c r="G418" s="32">
        <v>60</v>
      </c>
      <c r="H418" s="32">
        <v>60</v>
      </c>
      <c r="I418" s="32">
        <v>60</v>
      </c>
      <c r="J418" s="32">
        <v>60</v>
      </c>
      <c r="K418" s="32"/>
      <c r="L418" s="32"/>
      <c r="M418" s="39"/>
      <c r="N418" s="43">
        <f t="shared" si="12"/>
        <v>7</v>
      </c>
      <c r="O418" s="33"/>
      <c r="P418" s="32">
        <v>8</v>
      </c>
      <c r="Q418" s="32">
        <v>416</v>
      </c>
      <c r="R418" s="32">
        <v>120</v>
      </c>
      <c r="S418" s="32">
        <v>120</v>
      </c>
      <c r="T418" s="32">
        <v>120</v>
      </c>
      <c r="U418" s="32">
        <v>60</v>
      </c>
      <c r="V418" s="32"/>
      <c r="W418" s="32"/>
      <c r="X418">
        <f t="shared" si="13"/>
        <v>4</v>
      </c>
      <c r="BK418" s="32">
        <v>416</v>
      </c>
      <c r="BL418">
        <v>20</v>
      </c>
      <c r="BM418">
        <v>3.5</v>
      </c>
    </row>
    <row r="419" spans="1:65" x14ac:dyDescent="0.45">
      <c r="A419" s="33"/>
      <c r="B419" s="32">
        <v>9</v>
      </c>
      <c r="C419" s="32">
        <v>417</v>
      </c>
      <c r="D419" s="32">
        <v>60</v>
      </c>
      <c r="E419" s="32">
        <v>60</v>
      </c>
      <c r="F419" s="32">
        <v>60</v>
      </c>
      <c r="G419" s="32">
        <v>60</v>
      </c>
      <c r="H419" s="32">
        <v>60</v>
      </c>
      <c r="I419" s="32">
        <v>60</v>
      </c>
      <c r="J419" s="32">
        <v>60</v>
      </c>
      <c r="K419" s="32"/>
      <c r="L419" s="32"/>
      <c r="M419" s="39"/>
      <c r="N419" s="43">
        <f t="shared" si="12"/>
        <v>7</v>
      </c>
      <c r="O419" s="33"/>
      <c r="P419" s="32">
        <v>9</v>
      </c>
      <c r="Q419" s="32">
        <v>417</v>
      </c>
      <c r="R419" s="32">
        <v>120</v>
      </c>
      <c r="S419" s="32">
        <v>120</v>
      </c>
      <c r="T419" s="32">
        <v>120</v>
      </c>
      <c r="U419" s="32">
        <v>60</v>
      </c>
      <c r="V419" s="32"/>
      <c r="W419" s="32"/>
      <c r="X419">
        <f t="shared" si="13"/>
        <v>4</v>
      </c>
      <c r="BK419" s="32">
        <v>417</v>
      </c>
      <c r="BL419">
        <v>20</v>
      </c>
      <c r="BM419">
        <v>3.5</v>
      </c>
    </row>
    <row r="420" spans="1:65" x14ac:dyDescent="0.45">
      <c r="A420" s="33"/>
      <c r="B420" s="32">
        <v>10</v>
      </c>
      <c r="C420" s="32">
        <v>418</v>
      </c>
      <c r="D420" s="32">
        <v>60</v>
      </c>
      <c r="E420" s="32">
        <v>60</v>
      </c>
      <c r="F420" s="32">
        <v>60</v>
      </c>
      <c r="G420" s="32">
        <v>60</v>
      </c>
      <c r="H420" s="32">
        <v>60</v>
      </c>
      <c r="I420" s="32">
        <v>60</v>
      </c>
      <c r="J420" s="32">
        <v>60</v>
      </c>
      <c r="K420" s="32"/>
      <c r="L420" s="32"/>
      <c r="M420" s="39"/>
      <c r="N420" s="43">
        <f t="shared" si="12"/>
        <v>7</v>
      </c>
      <c r="O420" s="33"/>
      <c r="P420" s="32">
        <v>10</v>
      </c>
      <c r="Q420" s="32">
        <v>418</v>
      </c>
      <c r="R420" s="32">
        <v>120</v>
      </c>
      <c r="S420" s="32">
        <v>120</v>
      </c>
      <c r="T420" s="32">
        <v>120</v>
      </c>
      <c r="U420" s="32">
        <v>60</v>
      </c>
      <c r="V420" s="32"/>
      <c r="W420" s="32"/>
      <c r="X420">
        <f t="shared" si="13"/>
        <v>4</v>
      </c>
      <c r="BK420" s="32">
        <v>418</v>
      </c>
      <c r="BL420">
        <v>20</v>
      </c>
      <c r="BM420">
        <v>3.5</v>
      </c>
    </row>
    <row r="421" spans="1:65" x14ac:dyDescent="0.45">
      <c r="A421" s="33"/>
      <c r="B421" s="32">
        <v>11</v>
      </c>
      <c r="C421" s="32">
        <v>419</v>
      </c>
      <c r="D421" s="32">
        <v>60</v>
      </c>
      <c r="E421" s="32">
        <v>60</v>
      </c>
      <c r="F421" s="32">
        <v>60</v>
      </c>
      <c r="G421" s="32">
        <v>60</v>
      </c>
      <c r="H421" s="32">
        <v>60</v>
      </c>
      <c r="I421" s="32">
        <v>60</v>
      </c>
      <c r="J421" s="32">
        <v>60</v>
      </c>
      <c r="K421" s="32"/>
      <c r="L421" s="32"/>
      <c r="M421" s="39"/>
      <c r="N421" s="43">
        <f t="shared" si="12"/>
        <v>7</v>
      </c>
      <c r="O421" s="33"/>
      <c r="P421" s="32">
        <v>11</v>
      </c>
      <c r="Q421" s="32">
        <v>419</v>
      </c>
      <c r="R421" s="32">
        <v>120</v>
      </c>
      <c r="S421" s="32">
        <v>120</v>
      </c>
      <c r="T421" s="32">
        <v>120</v>
      </c>
      <c r="U421" s="32">
        <v>60</v>
      </c>
      <c r="V421" s="32"/>
      <c r="W421" s="32"/>
      <c r="X421">
        <f t="shared" si="13"/>
        <v>4</v>
      </c>
      <c r="BK421" s="32">
        <v>419</v>
      </c>
      <c r="BL421">
        <v>20</v>
      </c>
      <c r="BM421">
        <v>3.5</v>
      </c>
    </row>
    <row r="422" spans="1:65" x14ac:dyDescent="0.45">
      <c r="A422" s="33">
        <v>35</v>
      </c>
      <c r="B422" s="32"/>
      <c r="C422" s="32">
        <v>420</v>
      </c>
      <c r="D422" s="32">
        <v>60</v>
      </c>
      <c r="E422" s="32">
        <v>60</v>
      </c>
      <c r="F422" s="32">
        <v>60</v>
      </c>
      <c r="G422" s="32">
        <v>60</v>
      </c>
      <c r="H422" s="32">
        <v>60</v>
      </c>
      <c r="I422" s="32">
        <v>60</v>
      </c>
      <c r="J422" s="32">
        <v>60</v>
      </c>
      <c r="K422" s="32"/>
      <c r="L422" s="32"/>
      <c r="M422" s="39"/>
      <c r="N422" s="43">
        <f t="shared" si="12"/>
        <v>7</v>
      </c>
      <c r="O422" s="33">
        <v>35</v>
      </c>
      <c r="P422" s="32"/>
      <c r="Q422" s="32">
        <v>420</v>
      </c>
      <c r="R422" s="32">
        <v>120</v>
      </c>
      <c r="S422" s="32">
        <v>120</v>
      </c>
      <c r="T422" s="32">
        <v>120</v>
      </c>
      <c r="U422" s="32">
        <v>60</v>
      </c>
      <c r="V422" s="32"/>
      <c r="W422" s="32"/>
      <c r="X422">
        <f t="shared" si="13"/>
        <v>4</v>
      </c>
      <c r="BK422" s="32">
        <v>420</v>
      </c>
      <c r="BL422">
        <v>20</v>
      </c>
      <c r="BM422">
        <v>4</v>
      </c>
    </row>
    <row r="423" spans="1:65" x14ac:dyDescent="0.45">
      <c r="A423" s="33"/>
      <c r="B423" s="32">
        <v>1</v>
      </c>
      <c r="C423" s="32">
        <v>421</v>
      </c>
      <c r="D423" s="32">
        <v>60</v>
      </c>
      <c r="E423" s="32">
        <v>60</v>
      </c>
      <c r="F423" s="32">
        <v>60</v>
      </c>
      <c r="G423" s="32">
        <v>60</v>
      </c>
      <c r="H423" s="32">
        <v>48</v>
      </c>
      <c r="I423" s="32">
        <v>48</v>
      </c>
      <c r="J423" s="32">
        <v>48</v>
      </c>
      <c r="K423" s="32">
        <v>48</v>
      </c>
      <c r="L423" s="32"/>
      <c r="M423" s="39"/>
      <c r="N423" s="43">
        <f t="shared" si="12"/>
        <v>8</v>
      </c>
      <c r="O423" s="33"/>
      <c r="P423" s="32">
        <v>1</v>
      </c>
      <c r="Q423" s="32">
        <v>421</v>
      </c>
      <c r="R423" s="32">
        <v>120</v>
      </c>
      <c r="S423" s="32">
        <v>120</v>
      </c>
      <c r="T423" s="32">
        <v>96</v>
      </c>
      <c r="U423" s="32">
        <v>96</v>
      </c>
      <c r="V423" s="32"/>
      <c r="W423" s="32"/>
      <c r="X423">
        <f t="shared" si="13"/>
        <v>4</v>
      </c>
      <c r="BK423" s="32">
        <v>421</v>
      </c>
      <c r="BL423">
        <v>20</v>
      </c>
      <c r="BM423">
        <v>4</v>
      </c>
    </row>
    <row r="424" spans="1:65" x14ac:dyDescent="0.45">
      <c r="A424" s="33"/>
      <c r="B424" s="32">
        <v>2</v>
      </c>
      <c r="C424" s="32">
        <v>422</v>
      </c>
      <c r="D424" s="32">
        <v>60</v>
      </c>
      <c r="E424" s="32">
        <v>60</v>
      </c>
      <c r="F424" s="32">
        <v>60</v>
      </c>
      <c r="G424" s="32">
        <v>60</v>
      </c>
      <c r="H424" s="32">
        <v>48</v>
      </c>
      <c r="I424" s="32">
        <v>48</v>
      </c>
      <c r="J424" s="32">
        <v>48</v>
      </c>
      <c r="K424" s="32">
        <v>48</v>
      </c>
      <c r="L424" s="32"/>
      <c r="M424" s="39"/>
      <c r="N424" s="43">
        <f t="shared" si="12"/>
        <v>8</v>
      </c>
      <c r="O424" s="33"/>
      <c r="P424" s="32">
        <v>2</v>
      </c>
      <c r="Q424" s="32">
        <v>422</v>
      </c>
      <c r="R424" s="32">
        <v>120</v>
      </c>
      <c r="S424" s="32">
        <v>120</v>
      </c>
      <c r="T424" s="32">
        <v>96</v>
      </c>
      <c r="U424" s="32">
        <v>96</v>
      </c>
      <c r="V424" s="32"/>
      <c r="W424" s="32"/>
      <c r="X424">
        <f t="shared" si="13"/>
        <v>4</v>
      </c>
      <c r="BK424" s="32">
        <v>422</v>
      </c>
      <c r="BL424">
        <v>20</v>
      </c>
      <c r="BM424">
        <v>4</v>
      </c>
    </row>
    <row r="425" spans="1:65" x14ac:dyDescent="0.45">
      <c r="A425" s="33"/>
      <c r="B425" s="32">
        <v>3</v>
      </c>
      <c r="C425" s="32">
        <v>423</v>
      </c>
      <c r="D425" s="32">
        <v>60</v>
      </c>
      <c r="E425" s="32">
        <v>60</v>
      </c>
      <c r="F425" s="32">
        <v>60</v>
      </c>
      <c r="G425" s="32">
        <v>60</v>
      </c>
      <c r="H425" s="32">
        <v>48</v>
      </c>
      <c r="I425" s="32">
        <v>48</v>
      </c>
      <c r="J425" s="32">
        <v>48</v>
      </c>
      <c r="K425" s="32">
        <v>48</v>
      </c>
      <c r="L425" s="32"/>
      <c r="M425" s="39"/>
      <c r="N425" s="43">
        <f t="shared" si="12"/>
        <v>8</v>
      </c>
      <c r="O425" s="33"/>
      <c r="P425" s="32">
        <v>3</v>
      </c>
      <c r="Q425" s="32">
        <v>423</v>
      </c>
      <c r="R425" s="32">
        <v>120</v>
      </c>
      <c r="S425" s="32">
        <v>120</v>
      </c>
      <c r="T425" s="32">
        <v>96</v>
      </c>
      <c r="U425" s="32">
        <v>96</v>
      </c>
      <c r="V425" s="32"/>
      <c r="W425" s="32"/>
      <c r="X425">
        <f t="shared" si="13"/>
        <v>4</v>
      </c>
      <c r="BK425" s="32">
        <v>423</v>
      </c>
      <c r="BL425">
        <v>20</v>
      </c>
      <c r="BM425">
        <v>4</v>
      </c>
    </row>
    <row r="426" spans="1:65" x14ac:dyDescent="0.45">
      <c r="A426" s="33"/>
      <c r="B426" s="32">
        <v>4</v>
      </c>
      <c r="C426" s="32">
        <v>424</v>
      </c>
      <c r="D426" s="32">
        <v>60</v>
      </c>
      <c r="E426" s="32">
        <v>60</v>
      </c>
      <c r="F426" s="32">
        <v>60</v>
      </c>
      <c r="G426" s="32">
        <v>60</v>
      </c>
      <c r="H426" s="32">
        <v>48</v>
      </c>
      <c r="I426" s="32">
        <v>48</v>
      </c>
      <c r="J426" s="32">
        <v>48</v>
      </c>
      <c r="K426" s="32">
        <v>48</v>
      </c>
      <c r="L426" s="32"/>
      <c r="M426" s="39"/>
      <c r="N426" s="43">
        <f t="shared" si="12"/>
        <v>8</v>
      </c>
      <c r="O426" s="33"/>
      <c r="P426" s="32">
        <v>4</v>
      </c>
      <c r="Q426" s="32">
        <v>424</v>
      </c>
      <c r="R426" s="32">
        <v>120</v>
      </c>
      <c r="S426" s="32">
        <v>120</v>
      </c>
      <c r="T426" s="32">
        <v>96</v>
      </c>
      <c r="U426" s="32">
        <v>96</v>
      </c>
      <c r="V426" s="32"/>
      <c r="W426" s="32"/>
      <c r="X426">
        <f t="shared" si="13"/>
        <v>4</v>
      </c>
      <c r="BK426" s="32">
        <v>424</v>
      </c>
      <c r="BL426">
        <v>20</v>
      </c>
      <c r="BM426">
        <v>4</v>
      </c>
    </row>
    <row r="427" spans="1:65" x14ac:dyDescent="0.45">
      <c r="A427" s="33"/>
      <c r="B427" s="32">
        <v>5</v>
      </c>
      <c r="C427" s="32">
        <v>425</v>
      </c>
      <c r="D427" s="32">
        <v>60</v>
      </c>
      <c r="E427" s="32">
        <v>60</v>
      </c>
      <c r="F427" s="32">
        <v>60</v>
      </c>
      <c r="G427" s="32">
        <v>60</v>
      </c>
      <c r="H427" s="32">
        <v>48</v>
      </c>
      <c r="I427" s="32">
        <v>48</v>
      </c>
      <c r="J427" s="32">
        <v>48</v>
      </c>
      <c r="K427" s="32">
        <v>48</v>
      </c>
      <c r="L427" s="32"/>
      <c r="M427" s="39"/>
      <c r="N427" s="43">
        <f t="shared" si="12"/>
        <v>8</v>
      </c>
      <c r="O427" s="33"/>
      <c r="P427" s="32">
        <v>5</v>
      </c>
      <c r="Q427" s="32">
        <v>425</v>
      </c>
      <c r="R427" s="32">
        <v>120</v>
      </c>
      <c r="S427" s="32">
        <v>120</v>
      </c>
      <c r="T427" s="32">
        <v>96</v>
      </c>
      <c r="U427" s="32">
        <v>96</v>
      </c>
      <c r="V427" s="32"/>
      <c r="W427" s="32"/>
      <c r="X427">
        <f t="shared" si="13"/>
        <v>4</v>
      </c>
      <c r="BK427" s="32">
        <v>425</v>
      </c>
      <c r="BL427">
        <v>20</v>
      </c>
      <c r="BM427">
        <v>4</v>
      </c>
    </row>
    <row r="428" spans="1:65" x14ac:dyDescent="0.45">
      <c r="A428" s="33"/>
      <c r="B428" s="32">
        <v>6</v>
      </c>
      <c r="C428" s="32">
        <v>426</v>
      </c>
      <c r="D428" s="32">
        <v>60</v>
      </c>
      <c r="E428" s="32">
        <v>60</v>
      </c>
      <c r="F428" s="32">
        <v>60</v>
      </c>
      <c r="G428" s="32">
        <v>60</v>
      </c>
      <c r="H428" s="32">
        <v>48</v>
      </c>
      <c r="I428" s="32">
        <v>48</v>
      </c>
      <c r="J428" s="32">
        <v>48</v>
      </c>
      <c r="K428" s="32">
        <v>48</v>
      </c>
      <c r="L428" s="32"/>
      <c r="M428" s="39"/>
      <c r="N428" s="43">
        <f t="shared" si="12"/>
        <v>8</v>
      </c>
      <c r="O428" s="33"/>
      <c r="P428" s="32">
        <v>6</v>
      </c>
      <c r="Q428" s="32">
        <v>426</v>
      </c>
      <c r="R428" s="32">
        <v>120</v>
      </c>
      <c r="S428" s="32">
        <v>120</v>
      </c>
      <c r="T428" s="32">
        <v>96</v>
      </c>
      <c r="U428" s="32">
        <v>96</v>
      </c>
      <c r="V428" s="32"/>
      <c r="W428" s="32"/>
      <c r="X428">
        <f t="shared" si="13"/>
        <v>4</v>
      </c>
      <c r="BK428" s="32">
        <v>426</v>
      </c>
      <c r="BL428">
        <v>20</v>
      </c>
      <c r="BM428">
        <v>4</v>
      </c>
    </row>
    <row r="429" spans="1:65" x14ac:dyDescent="0.45">
      <c r="A429" s="33"/>
      <c r="B429" s="32">
        <v>7</v>
      </c>
      <c r="C429" s="32">
        <v>427</v>
      </c>
      <c r="D429" s="32">
        <v>60</v>
      </c>
      <c r="E429" s="32">
        <v>60</v>
      </c>
      <c r="F429" s="32">
        <v>60</v>
      </c>
      <c r="G429" s="32">
        <v>60</v>
      </c>
      <c r="H429" s="32">
        <v>48</v>
      </c>
      <c r="I429" s="32">
        <v>48</v>
      </c>
      <c r="J429" s="32">
        <v>48</v>
      </c>
      <c r="K429" s="32">
        <v>48</v>
      </c>
      <c r="L429" s="32"/>
      <c r="M429" s="39"/>
      <c r="N429" s="43">
        <f t="shared" si="12"/>
        <v>8</v>
      </c>
      <c r="O429" s="33"/>
      <c r="P429" s="32">
        <v>7</v>
      </c>
      <c r="Q429" s="32">
        <v>427</v>
      </c>
      <c r="R429" s="32">
        <v>120</v>
      </c>
      <c r="S429" s="32">
        <v>120</v>
      </c>
      <c r="T429" s="32">
        <v>96</v>
      </c>
      <c r="U429" s="32">
        <v>96</v>
      </c>
      <c r="V429" s="32"/>
      <c r="W429" s="32"/>
      <c r="X429">
        <f t="shared" si="13"/>
        <v>4</v>
      </c>
      <c r="BK429" s="32">
        <v>427</v>
      </c>
      <c r="BL429">
        <v>20</v>
      </c>
      <c r="BM429">
        <v>4</v>
      </c>
    </row>
    <row r="430" spans="1:65" x14ac:dyDescent="0.45">
      <c r="A430" s="33"/>
      <c r="B430" s="32">
        <v>8</v>
      </c>
      <c r="C430" s="32">
        <v>428</v>
      </c>
      <c r="D430" s="32">
        <v>60</v>
      </c>
      <c r="E430" s="32">
        <v>60</v>
      </c>
      <c r="F430" s="32">
        <v>60</v>
      </c>
      <c r="G430" s="32">
        <v>60</v>
      </c>
      <c r="H430" s="32">
        <v>48</v>
      </c>
      <c r="I430" s="32">
        <v>48</v>
      </c>
      <c r="J430" s="32">
        <v>48</v>
      </c>
      <c r="K430" s="32">
        <v>48</v>
      </c>
      <c r="L430" s="32"/>
      <c r="M430" s="39"/>
      <c r="N430" s="43">
        <f t="shared" si="12"/>
        <v>8</v>
      </c>
      <c r="O430" s="33"/>
      <c r="P430" s="32">
        <v>8</v>
      </c>
      <c r="Q430" s="32">
        <v>428</v>
      </c>
      <c r="R430" s="32">
        <v>120</v>
      </c>
      <c r="S430" s="32">
        <v>120</v>
      </c>
      <c r="T430" s="32">
        <v>96</v>
      </c>
      <c r="U430" s="32">
        <v>96</v>
      </c>
      <c r="V430" s="32"/>
      <c r="W430" s="32"/>
      <c r="X430">
        <f t="shared" si="13"/>
        <v>4</v>
      </c>
      <c r="BK430" s="32">
        <v>428</v>
      </c>
      <c r="BL430">
        <v>20</v>
      </c>
      <c r="BM430">
        <v>4</v>
      </c>
    </row>
    <row r="431" spans="1:65" x14ac:dyDescent="0.45">
      <c r="A431" s="33"/>
      <c r="B431" s="32">
        <v>9</v>
      </c>
      <c r="C431" s="32">
        <v>429</v>
      </c>
      <c r="D431" s="32">
        <v>60</v>
      </c>
      <c r="E431" s="32">
        <v>60</v>
      </c>
      <c r="F431" s="32">
        <v>60</v>
      </c>
      <c r="G431" s="32">
        <v>60</v>
      </c>
      <c r="H431" s="32">
        <v>48</v>
      </c>
      <c r="I431" s="32">
        <v>48</v>
      </c>
      <c r="J431" s="32">
        <v>48</v>
      </c>
      <c r="K431" s="32">
        <v>48</v>
      </c>
      <c r="L431" s="32"/>
      <c r="M431" s="39"/>
      <c r="N431" s="43">
        <f t="shared" si="12"/>
        <v>8</v>
      </c>
      <c r="O431" s="33"/>
      <c r="P431" s="32">
        <v>9</v>
      </c>
      <c r="Q431" s="32">
        <v>429</v>
      </c>
      <c r="R431" s="32">
        <v>120</v>
      </c>
      <c r="S431" s="32">
        <v>120</v>
      </c>
      <c r="T431" s="32">
        <v>96</v>
      </c>
      <c r="U431" s="32">
        <v>96</v>
      </c>
      <c r="V431" s="32"/>
      <c r="W431" s="32"/>
      <c r="X431">
        <f t="shared" si="13"/>
        <v>4</v>
      </c>
      <c r="BK431" s="32">
        <v>429</v>
      </c>
      <c r="BL431">
        <v>20</v>
      </c>
      <c r="BM431">
        <v>4</v>
      </c>
    </row>
    <row r="432" spans="1:65" x14ac:dyDescent="0.45">
      <c r="A432" s="33"/>
      <c r="B432" s="32">
        <v>10</v>
      </c>
      <c r="C432" s="32">
        <v>430</v>
      </c>
      <c r="D432" s="32">
        <v>60</v>
      </c>
      <c r="E432" s="32">
        <v>60</v>
      </c>
      <c r="F432" s="32">
        <v>60</v>
      </c>
      <c r="G432" s="32">
        <v>60</v>
      </c>
      <c r="H432" s="32">
        <v>48</v>
      </c>
      <c r="I432" s="32">
        <v>48</v>
      </c>
      <c r="J432" s="32">
        <v>48</v>
      </c>
      <c r="K432" s="32">
        <v>48</v>
      </c>
      <c r="L432" s="32"/>
      <c r="M432" s="39"/>
      <c r="N432" s="43">
        <f t="shared" si="12"/>
        <v>8</v>
      </c>
      <c r="O432" s="33"/>
      <c r="P432" s="32">
        <v>10</v>
      </c>
      <c r="Q432" s="32">
        <v>430</v>
      </c>
      <c r="R432" s="32">
        <v>120</v>
      </c>
      <c r="S432" s="32">
        <v>120</v>
      </c>
      <c r="T432" s="32">
        <v>96</v>
      </c>
      <c r="U432" s="32">
        <v>96</v>
      </c>
      <c r="V432" s="32"/>
      <c r="W432" s="32"/>
      <c r="X432">
        <f t="shared" si="13"/>
        <v>4</v>
      </c>
      <c r="BK432" s="32">
        <v>430</v>
      </c>
      <c r="BL432">
        <v>20</v>
      </c>
      <c r="BM432">
        <v>4</v>
      </c>
    </row>
    <row r="433" spans="1:65" x14ac:dyDescent="0.45">
      <c r="A433" s="33"/>
      <c r="B433" s="32">
        <v>11</v>
      </c>
      <c r="C433" s="32">
        <v>431</v>
      </c>
      <c r="D433" s="32">
        <v>60</v>
      </c>
      <c r="E433" s="32">
        <v>60</v>
      </c>
      <c r="F433" s="32">
        <v>60</v>
      </c>
      <c r="G433" s="32">
        <v>60</v>
      </c>
      <c r="H433" s="32">
        <v>48</v>
      </c>
      <c r="I433" s="32">
        <v>48</v>
      </c>
      <c r="J433" s="32">
        <v>48</v>
      </c>
      <c r="K433" s="32">
        <v>48</v>
      </c>
      <c r="L433" s="32"/>
      <c r="M433" s="39"/>
      <c r="N433" s="43">
        <f t="shared" si="12"/>
        <v>8</v>
      </c>
      <c r="O433" s="33"/>
      <c r="P433" s="32">
        <v>11</v>
      </c>
      <c r="Q433" s="32">
        <v>431</v>
      </c>
      <c r="R433" s="32">
        <v>120</v>
      </c>
      <c r="S433" s="32">
        <v>120</v>
      </c>
      <c r="T433" s="32">
        <v>96</v>
      </c>
      <c r="U433" s="32">
        <v>96</v>
      </c>
      <c r="V433" s="32"/>
      <c r="W433" s="32"/>
      <c r="X433">
        <f t="shared" si="13"/>
        <v>4</v>
      </c>
      <c r="BK433" s="32">
        <v>431</v>
      </c>
      <c r="BL433">
        <v>20</v>
      </c>
      <c r="BM433">
        <v>4</v>
      </c>
    </row>
    <row r="434" spans="1:65" x14ac:dyDescent="0.45">
      <c r="A434" s="33">
        <v>36</v>
      </c>
      <c r="B434" s="32"/>
      <c r="C434" s="32">
        <v>432</v>
      </c>
      <c r="D434" s="32">
        <v>60</v>
      </c>
      <c r="E434" s="32">
        <v>60</v>
      </c>
      <c r="F434" s="32">
        <v>60</v>
      </c>
      <c r="G434" s="32">
        <v>60</v>
      </c>
      <c r="H434" s="32">
        <v>48</v>
      </c>
      <c r="I434" s="32">
        <v>48</v>
      </c>
      <c r="J434" s="32">
        <v>48</v>
      </c>
      <c r="K434" s="32">
        <v>48</v>
      </c>
      <c r="L434" s="32"/>
      <c r="M434" s="39"/>
      <c r="N434" s="43">
        <f t="shared" si="12"/>
        <v>8</v>
      </c>
      <c r="O434" s="33">
        <v>36</v>
      </c>
      <c r="P434" s="32"/>
      <c r="Q434" s="32">
        <v>432</v>
      </c>
      <c r="R434" s="32">
        <v>120</v>
      </c>
      <c r="S434" s="32">
        <v>120</v>
      </c>
      <c r="T434" s="32">
        <v>96</v>
      </c>
      <c r="U434" s="32">
        <v>96</v>
      </c>
      <c r="V434" s="32"/>
      <c r="W434" s="32"/>
      <c r="X434">
        <f t="shared" si="13"/>
        <v>4</v>
      </c>
      <c r="BK434" s="32">
        <v>432</v>
      </c>
      <c r="BL434">
        <v>20</v>
      </c>
      <c r="BM434">
        <v>4</v>
      </c>
    </row>
    <row r="435" spans="1:65" x14ac:dyDescent="0.45">
      <c r="A435" s="33"/>
      <c r="B435" s="32">
        <v>1</v>
      </c>
      <c r="C435" s="32">
        <v>433</v>
      </c>
      <c r="D435" s="32">
        <v>60</v>
      </c>
      <c r="E435" s="32">
        <v>60</v>
      </c>
      <c r="F435" s="32">
        <v>60</v>
      </c>
      <c r="G435" s="32">
        <v>60</v>
      </c>
      <c r="H435" s="32">
        <v>60</v>
      </c>
      <c r="I435" s="32">
        <v>48</v>
      </c>
      <c r="J435" s="32">
        <v>48</v>
      </c>
      <c r="K435" s="32">
        <v>48</v>
      </c>
      <c r="L435" s="32"/>
      <c r="M435" s="39"/>
      <c r="N435" s="43">
        <f t="shared" si="12"/>
        <v>8</v>
      </c>
      <c r="O435" s="33"/>
      <c r="P435" s="32">
        <v>1</v>
      </c>
      <c r="Q435" s="32">
        <v>433</v>
      </c>
      <c r="R435" s="32">
        <v>120</v>
      </c>
      <c r="S435" s="32">
        <v>120</v>
      </c>
      <c r="T435" s="32">
        <v>96</v>
      </c>
      <c r="U435" s="32">
        <v>60</v>
      </c>
      <c r="V435" s="32">
        <v>48</v>
      </c>
      <c r="W435" s="32"/>
      <c r="X435">
        <f t="shared" si="13"/>
        <v>5</v>
      </c>
      <c r="BK435" s="32">
        <v>433</v>
      </c>
      <c r="BL435">
        <v>20</v>
      </c>
      <c r="BM435">
        <v>4</v>
      </c>
    </row>
    <row r="436" spans="1:65" x14ac:dyDescent="0.45">
      <c r="A436" s="33"/>
      <c r="B436" s="32">
        <v>2</v>
      </c>
      <c r="C436" s="32">
        <v>434</v>
      </c>
      <c r="D436" s="32">
        <v>60</v>
      </c>
      <c r="E436" s="32">
        <v>60</v>
      </c>
      <c r="F436" s="32">
        <v>60</v>
      </c>
      <c r="G436" s="32">
        <v>60</v>
      </c>
      <c r="H436" s="32">
        <v>60</v>
      </c>
      <c r="I436" s="32">
        <v>48</v>
      </c>
      <c r="J436" s="32">
        <v>48</v>
      </c>
      <c r="K436" s="32">
        <v>48</v>
      </c>
      <c r="L436" s="32"/>
      <c r="M436" s="39"/>
      <c r="N436" s="43">
        <f t="shared" si="12"/>
        <v>8</v>
      </c>
      <c r="O436" s="33"/>
      <c r="P436" s="32">
        <v>2</v>
      </c>
      <c r="Q436" s="32">
        <v>434</v>
      </c>
      <c r="R436" s="32">
        <v>120</v>
      </c>
      <c r="S436" s="32">
        <v>120</v>
      </c>
      <c r="T436" s="32">
        <v>96</v>
      </c>
      <c r="U436" s="32">
        <v>60</v>
      </c>
      <c r="V436" s="32">
        <v>48</v>
      </c>
      <c r="W436" s="32"/>
      <c r="X436">
        <f t="shared" si="13"/>
        <v>5</v>
      </c>
      <c r="BK436" s="32">
        <v>434</v>
      </c>
      <c r="BL436">
        <v>20</v>
      </c>
      <c r="BM436">
        <v>4</v>
      </c>
    </row>
    <row r="437" spans="1:65" x14ac:dyDescent="0.45">
      <c r="A437" s="33"/>
      <c r="B437" s="32">
        <v>3</v>
      </c>
      <c r="C437" s="32">
        <v>435</v>
      </c>
      <c r="D437" s="32">
        <v>60</v>
      </c>
      <c r="E437" s="32">
        <v>60</v>
      </c>
      <c r="F437" s="32">
        <v>60</v>
      </c>
      <c r="G437" s="32">
        <v>60</v>
      </c>
      <c r="H437" s="32">
        <v>60</v>
      </c>
      <c r="I437" s="32">
        <v>48</v>
      </c>
      <c r="J437" s="32">
        <v>48</v>
      </c>
      <c r="K437" s="32">
        <v>48</v>
      </c>
      <c r="L437" s="32"/>
      <c r="M437" s="39"/>
      <c r="N437" s="43">
        <f t="shared" si="12"/>
        <v>8</v>
      </c>
      <c r="O437" s="33"/>
      <c r="P437" s="32">
        <v>3</v>
      </c>
      <c r="Q437" s="32">
        <v>435</v>
      </c>
      <c r="R437" s="32">
        <v>120</v>
      </c>
      <c r="S437" s="32">
        <v>120</v>
      </c>
      <c r="T437" s="32">
        <v>96</v>
      </c>
      <c r="U437" s="32">
        <v>60</v>
      </c>
      <c r="V437" s="32">
        <v>48</v>
      </c>
      <c r="W437" s="32"/>
      <c r="X437">
        <f t="shared" si="13"/>
        <v>5</v>
      </c>
      <c r="BK437" s="32">
        <v>435</v>
      </c>
      <c r="BL437">
        <v>20</v>
      </c>
      <c r="BM437">
        <v>4</v>
      </c>
    </row>
    <row r="438" spans="1:65" x14ac:dyDescent="0.45">
      <c r="A438" s="33"/>
      <c r="B438" s="32">
        <v>4</v>
      </c>
      <c r="C438" s="32">
        <v>436</v>
      </c>
      <c r="D438" s="32">
        <v>60</v>
      </c>
      <c r="E438" s="32">
        <v>60</v>
      </c>
      <c r="F438" s="32">
        <v>60</v>
      </c>
      <c r="G438" s="32">
        <v>60</v>
      </c>
      <c r="H438" s="32">
        <v>60</v>
      </c>
      <c r="I438" s="32">
        <v>48</v>
      </c>
      <c r="J438" s="32">
        <v>48</v>
      </c>
      <c r="K438" s="32">
        <v>48</v>
      </c>
      <c r="L438" s="32"/>
      <c r="M438" s="39"/>
      <c r="N438" s="43">
        <f t="shared" si="12"/>
        <v>8</v>
      </c>
      <c r="O438" s="33"/>
      <c r="P438" s="32">
        <v>4</v>
      </c>
      <c r="Q438" s="32">
        <v>436</v>
      </c>
      <c r="R438" s="32">
        <v>120</v>
      </c>
      <c r="S438" s="32">
        <v>120</v>
      </c>
      <c r="T438" s="32">
        <v>96</v>
      </c>
      <c r="U438" s="32">
        <v>60</v>
      </c>
      <c r="V438" s="32">
        <v>48</v>
      </c>
      <c r="W438" s="32"/>
      <c r="X438">
        <f t="shared" si="13"/>
        <v>5</v>
      </c>
      <c r="BK438" s="32">
        <v>436</v>
      </c>
      <c r="BL438">
        <v>20</v>
      </c>
      <c r="BM438">
        <v>4</v>
      </c>
    </row>
    <row r="439" spans="1:65" x14ac:dyDescent="0.45">
      <c r="A439" s="33"/>
      <c r="B439" s="32">
        <v>5</v>
      </c>
      <c r="C439" s="32">
        <v>437</v>
      </c>
      <c r="D439" s="32">
        <v>60</v>
      </c>
      <c r="E439" s="32">
        <v>60</v>
      </c>
      <c r="F439" s="32">
        <v>60</v>
      </c>
      <c r="G439" s="32">
        <v>60</v>
      </c>
      <c r="H439" s="32">
        <v>60</v>
      </c>
      <c r="I439" s="32">
        <v>48</v>
      </c>
      <c r="J439" s="32">
        <v>48</v>
      </c>
      <c r="K439" s="32">
        <v>48</v>
      </c>
      <c r="L439" s="32"/>
      <c r="M439" s="39"/>
      <c r="N439" s="43">
        <f t="shared" si="12"/>
        <v>8</v>
      </c>
      <c r="O439" s="33"/>
      <c r="P439" s="32">
        <v>5</v>
      </c>
      <c r="Q439" s="32">
        <v>437</v>
      </c>
      <c r="R439" s="32">
        <v>120</v>
      </c>
      <c r="S439" s="32">
        <v>120</v>
      </c>
      <c r="T439" s="32">
        <v>96</v>
      </c>
      <c r="U439" s="32">
        <v>60</v>
      </c>
      <c r="V439" s="32">
        <v>48</v>
      </c>
      <c r="W439" s="32"/>
      <c r="X439">
        <f t="shared" si="13"/>
        <v>5</v>
      </c>
      <c r="BK439" s="32">
        <v>437</v>
      </c>
      <c r="BL439">
        <v>20</v>
      </c>
      <c r="BM439">
        <v>4</v>
      </c>
    </row>
    <row r="440" spans="1:65" x14ac:dyDescent="0.45">
      <c r="A440" s="33"/>
      <c r="B440" s="32">
        <v>6</v>
      </c>
      <c r="C440" s="32">
        <v>438</v>
      </c>
      <c r="D440" s="32">
        <v>60</v>
      </c>
      <c r="E440" s="32">
        <v>60</v>
      </c>
      <c r="F440" s="32">
        <v>60</v>
      </c>
      <c r="G440" s="32">
        <v>60</v>
      </c>
      <c r="H440" s="32">
        <v>60</v>
      </c>
      <c r="I440" s="32">
        <v>48</v>
      </c>
      <c r="J440" s="32">
        <v>48</v>
      </c>
      <c r="K440" s="32">
        <v>48</v>
      </c>
      <c r="L440" s="32"/>
      <c r="M440" s="39"/>
      <c r="N440" s="43">
        <f t="shared" si="12"/>
        <v>8</v>
      </c>
      <c r="O440" s="33"/>
      <c r="P440" s="32">
        <v>6</v>
      </c>
      <c r="Q440" s="32">
        <v>438</v>
      </c>
      <c r="R440" s="32">
        <v>120</v>
      </c>
      <c r="S440" s="32">
        <v>120</v>
      </c>
      <c r="T440" s="32">
        <v>96</v>
      </c>
      <c r="U440" s="32">
        <v>60</v>
      </c>
      <c r="V440" s="32">
        <v>48</v>
      </c>
      <c r="W440" s="32"/>
      <c r="X440">
        <f t="shared" si="13"/>
        <v>5</v>
      </c>
      <c r="BK440" s="32">
        <v>438</v>
      </c>
      <c r="BL440">
        <v>20</v>
      </c>
      <c r="BM440">
        <v>4</v>
      </c>
    </row>
    <row r="441" spans="1:65" x14ac:dyDescent="0.45">
      <c r="A441" s="33"/>
      <c r="B441" s="32">
        <v>7</v>
      </c>
      <c r="C441" s="32">
        <v>439</v>
      </c>
      <c r="D441" s="32">
        <v>60</v>
      </c>
      <c r="E441" s="32">
        <v>60</v>
      </c>
      <c r="F441" s="32">
        <v>60</v>
      </c>
      <c r="G441" s="32">
        <v>60</v>
      </c>
      <c r="H441" s="32">
        <v>60</v>
      </c>
      <c r="I441" s="32">
        <v>48</v>
      </c>
      <c r="J441" s="32">
        <v>48</v>
      </c>
      <c r="K441" s="32">
        <v>48</v>
      </c>
      <c r="L441" s="32"/>
      <c r="M441" s="39"/>
      <c r="N441" s="43">
        <f t="shared" si="12"/>
        <v>8</v>
      </c>
      <c r="O441" s="33"/>
      <c r="P441" s="32">
        <v>7</v>
      </c>
      <c r="Q441" s="32">
        <v>439</v>
      </c>
      <c r="R441" s="32">
        <v>120</v>
      </c>
      <c r="S441" s="32">
        <v>120</v>
      </c>
      <c r="T441" s="32">
        <v>96</v>
      </c>
      <c r="U441" s="32">
        <v>60</v>
      </c>
      <c r="V441" s="32">
        <v>48</v>
      </c>
      <c r="W441" s="32"/>
      <c r="X441">
        <f t="shared" si="13"/>
        <v>5</v>
      </c>
      <c r="BK441" s="32">
        <v>439</v>
      </c>
      <c r="BL441">
        <v>20</v>
      </c>
      <c r="BM441">
        <v>4</v>
      </c>
    </row>
    <row r="442" spans="1:65" x14ac:dyDescent="0.45">
      <c r="A442" s="33"/>
      <c r="B442" s="32">
        <v>8</v>
      </c>
      <c r="C442" s="32">
        <v>440</v>
      </c>
      <c r="D442" s="32">
        <v>60</v>
      </c>
      <c r="E442" s="32">
        <v>60</v>
      </c>
      <c r="F442" s="32">
        <v>60</v>
      </c>
      <c r="G442" s="32">
        <v>60</v>
      </c>
      <c r="H442" s="32">
        <v>60</v>
      </c>
      <c r="I442" s="32">
        <v>48</v>
      </c>
      <c r="J442" s="32">
        <v>48</v>
      </c>
      <c r="K442" s="32">
        <v>48</v>
      </c>
      <c r="L442" s="32"/>
      <c r="M442" s="39"/>
      <c r="N442" s="43">
        <f t="shared" si="12"/>
        <v>8</v>
      </c>
      <c r="O442" s="33"/>
      <c r="P442" s="32">
        <v>8</v>
      </c>
      <c r="Q442" s="32">
        <v>440</v>
      </c>
      <c r="R442" s="32">
        <v>120</v>
      </c>
      <c r="S442" s="32">
        <v>120</v>
      </c>
      <c r="T442" s="32">
        <v>96</v>
      </c>
      <c r="U442" s="32">
        <v>60</v>
      </c>
      <c r="V442" s="32">
        <v>48</v>
      </c>
      <c r="W442" s="32"/>
      <c r="X442">
        <f t="shared" si="13"/>
        <v>5</v>
      </c>
      <c r="BK442" s="32">
        <v>440</v>
      </c>
      <c r="BL442">
        <v>20</v>
      </c>
      <c r="BM442">
        <v>4</v>
      </c>
    </row>
    <row r="443" spans="1:65" x14ac:dyDescent="0.45">
      <c r="A443" s="33"/>
      <c r="B443" s="32">
        <v>9</v>
      </c>
      <c r="C443" s="32">
        <v>441</v>
      </c>
      <c r="D443" s="32">
        <v>60</v>
      </c>
      <c r="E443" s="32">
        <v>60</v>
      </c>
      <c r="F443" s="32">
        <v>60</v>
      </c>
      <c r="G443" s="32">
        <v>60</v>
      </c>
      <c r="H443" s="32">
        <v>60</v>
      </c>
      <c r="I443" s="32">
        <v>48</v>
      </c>
      <c r="J443" s="32">
        <v>48</v>
      </c>
      <c r="K443" s="32">
        <v>48</v>
      </c>
      <c r="L443" s="32"/>
      <c r="M443" s="39"/>
      <c r="N443" s="43">
        <f t="shared" si="12"/>
        <v>8</v>
      </c>
      <c r="O443" s="33"/>
      <c r="P443" s="32">
        <v>9</v>
      </c>
      <c r="Q443" s="32">
        <v>441</v>
      </c>
      <c r="R443" s="32">
        <v>120</v>
      </c>
      <c r="S443" s="32">
        <v>120</v>
      </c>
      <c r="T443" s="32">
        <v>96</v>
      </c>
      <c r="U443" s="32">
        <v>60</v>
      </c>
      <c r="V443" s="32">
        <v>48</v>
      </c>
      <c r="W443" s="32"/>
      <c r="X443">
        <f t="shared" si="13"/>
        <v>5</v>
      </c>
      <c r="BK443" s="32">
        <v>441</v>
      </c>
      <c r="BL443">
        <v>20</v>
      </c>
      <c r="BM443">
        <v>4</v>
      </c>
    </row>
    <row r="444" spans="1:65" x14ac:dyDescent="0.45">
      <c r="A444" s="33"/>
      <c r="B444" s="32">
        <v>10</v>
      </c>
      <c r="C444" s="32">
        <v>442</v>
      </c>
      <c r="D444" s="32">
        <v>60</v>
      </c>
      <c r="E444" s="32">
        <v>60</v>
      </c>
      <c r="F444" s="32">
        <v>60</v>
      </c>
      <c r="G444" s="32">
        <v>60</v>
      </c>
      <c r="H444" s="32">
        <v>60</v>
      </c>
      <c r="I444" s="32">
        <v>48</v>
      </c>
      <c r="J444" s="32">
        <v>48</v>
      </c>
      <c r="K444" s="32">
        <v>48</v>
      </c>
      <c r="L444" s="32"/>
      <c r="M444" s="39"/>
      <c r="N444" s="43">
        <f t="shared" si="12"/>
        <v>8</v>
      </c>
      <c r="O444" s="33"/>
      <c r="P444" s="32">
        <v>10</v>
      </c>
      <c r="Q444" s="32">
        <v>442</v>
      </c>
      <c r="R444" s="32">
        <v>120</v>
      </c>
      <c r="S444" s="32">
        <v>120</v>
      </c>
      <c r="T444" s="32">
        <v>96</v>
      </c>
      <c r="U444" s="32">
        <v>60</v>
      </c>
      <c r="V444" s="32">
        <v>48</v>
      </c>
      <c r="W444" s="32"/>
      <c r="X444">
        <f t="shared" si="13"/>
        <v>5</v>
      </c>
      <c r="BK444" s="32">
        <v>442</v>
      </c>
      <c r="BL444">
        <v>20</v>
      </c>
      <c r="BM444">
        <v>4</v>
      </c>
    </row>
    <row r="445" spans="1:65" x14ac:dyDescent="0.45">
      <c r="A445" s="33"/>
      <c r="B445" s="32">
        <v>11</v>
      </c>
      <c r="C445" s="32">
        <v>443</v>
      </c>
      <c r="D445" s="32">
        <v>60</v>
      </c>
      <c r="E445" s="32">
        <v>60</v>
      </c>
      <c r="F445" s="32">
        <v>60</v>
      </c>
      <c r="G445" s="32">
        <v>60</v>
      </c>
      <c r="H445" s="32">
        <v>60</v>
      </c>
      <c r="I445" s="32">
        <v>48</v>
      </c>
      <c r="J445" s="32">
        <v>48</v>
      </c>
      <c r="K445" s="32">
        <v>48</v>
      </c>
      <c r="L445" s="32"/>
      <c r="M445" s="39"/>
      <c r="N445" s="43">
        <f t="shared" si="12"/>
        <v>8</v>
      </c>
      <c r="O445" s="33"/>
      <c r="P445" s="32">
        <v>11</v>
      </c>
      <c r="Q445" s="32">
        <v>443</v>
      </c>
      <c r="R445" s="32">
        <v>120</v>
      </c>
      <c r="S445" s="32">
        <v>120</v>
      </c>
      <c r="T445" s="32">
        <v>96</v>
      </c>
      <c r="U445" s="32">
        <v>60</v>
      </c>
      <c r="V445" s="32">
        <v>48</v>
      </c>
      <c r="W445" s="32"/>
      <c r="X445">
        <f t="shared" si="13"/>
        <v>5</v>
      </c>
      <c r="BK445" s="32">
        <v>443</v>
      </c>
      <c r="BL445">
        <v>20</v>
      </c>
      <c r="BM445">
        <v>4</v>
      </c>
    </row>
    <row r="446" spans="1:65" x14ac:dyDescent="0.45">
      <c r="A446" s="33">
        <v>37</v>
      </c>
      <c r="B446" s="32"/>
      <c r="C446" s="32">
        <v>444</v>
      </c>
      <c r="D446" s="32">
        <v>60</v>
      </c>
      <c r="E446" s="32">
        <v>60</v>
      </c>
      <c r="F446" s="32">
        <v>60</v>
      </c>
      <c r="G446" s="32">
        <v>60</v>
      </c>
      <c r="H446" s="32">
        <v>60</v>
      </c>
      <c r="I446" s="32">
        <v>48</v>
      </c>
      <c r="J446" s="32">
        <v>48</v>
      </c>
      <c r="K446" s="32">
        <v>48</v>
      </c>
      <c r="L446" s="32"/>
      <c r="M446" s="39"/>
      <c r="N446" s="43">
        <f t="shared" si="12"/>
        <v>8</v>
      </c>
      <c r="O446" s="33">
        <v>37</v>
      </c>
      <c r="P446" s="32"/>
      <c r="Q446" s="32">
        <v>444</v>
      </c>
      <c r="R446" s="32">
        <v>120</v>
      </c>
      <c r="S446" s="32">
        <v>120</v>
      </c>
      <c r="T446" s="32">
        <v>96</v>
      </c>
      <c r="U446" s="32">
        <v>60</v>
      </c>
      <c r="V446" s="32">
        <v>48</v>
      </c>
      <c r="W446" s="32"/>
      <c r="X446">
        <f t="shared" si="13"/>
        <v>5</v>
      </c>
      <c r="BK446" s="32">
        <v>444</v>
      </c>
      <c r="BL446">
        <v>20</v>
      </c>
      <c r="BM446">
        <v>4</v>
      </c>
    </row>
    <row r="447" spans="1:65" x14ac:dyDescent="0.45">
      <c r="A447" s="33"/>
      <c r="B447" s="32">
        <v>1</v>
      </c>
      <c r="C447" s="32">
        <v>445</v>
      </c>
      <c r="D447" s="32">
        <v>60</v>
      </c>
      <c r="E447" s="32">
        <v>60</v>
      </c>
      <c r="F447" s="32">
        <v>60</v>
      </c>
      <c r="G447" s="32">
        <v>60</v>
      </c>
      <c r="H447" s="32">
        <v>60</v>
      </c>
      <c r="I447" s="32">
        <v>60</v>
      </c>
      <c r="J447" s="32">
        <v>48</v>
      </c>
      <c r="K447" s="32">
        <v>48</v>
      </c>
      <c r="L447" s="32"/>
      <c r="M447" s="39"/>
      <c r="N447" s="43">
        <f t="shared" si="12"/>
        <v>8</v>
      </c>
      <c r="O447" s="33"/>
      <c r="P447" s="32">
        <v>1</v>
      </c>
      <c r="Q447" s="32">
        <v>445</v>
      </c>
      <c r="R447" s="32">
        <v>120</v>
      </c>
      <c r="S447" s="32">
        <v>120</v>
      </c>
      <c r="T447" s="32">
        <v>120</v>
      </c>
      <c r="U447" s="32">
        <v>96</v>
      </c>
      <c r="V447" s="32"/>
      <c r="W447" s="32"/>
      <c r="X447">
        <f t="shared" si="13"/>
        <v>4</v>
      </c>
      <c r="BK447" s="32">
        <v>445</v>
      </c>
      <c r="BL447">
        <v>20</v>
      </c>
      <c r="BM447">
        <v>4</v>
      </c>
    </row>
    <row r="448" spans="1:65" x14ac:dyDescent="0.45">
      <c r="A448" s="33"/>
      <c r="B448" s="32">
        <v>2</v>
      </c>
      <c r="C448" s="32">
        <v>446</v>
      </c>
      <c r="D448" s="32">
        <v>60</v>
      </c>
      <c r="E448" s="32">
        <v>60</v>
      </c>
      <c r="F448" s="32">
        <v>60</v>
      </c>
      <c r="G448" s="32">
        <v>60</v>
      </c>
      <c r="H448" s="32">
        <v>60</v>
      </c>
      <c r="I448" s="32">
        <v>60</v>
      </c>
      <c r="J448" s="32">
        <v>48</v>
      </c>
      <c r="K448" s="32">
        <v>48</v>
      </c>
      <c r="L448" s="32"/>
      <c r="M448" s="39"/>
      <c r="N448" s="43">
        <f t="shared" si="12"/>
        <v>8</v>
      </c>
      <c r="O448" s="33"/>
      <c r="P448" s="32">
        <v>2</v>
      </c>
      <c r="Q448" s="32">
        <v>446</v>
      </c>
      <c r="R448" s="32">
        <v>120</v>
      </c>
      <c r="S448" s="32">
        <v>120</v>
      </c>
      <c r="T448" s="32">
        <v>120</v>
      </c>
      <c r="U448" s="32">
        <v>96</v>
      </c>
      <c r="V448" s="32"/>
      <c r="W448" s="32"/>
      <c r="X448">
        <f t="shared" si="13"/>
        <v>4</v>
      </c>
      <c r="BK448" s="32">
        <v>446</v>
      </c>
      <c r="BL448">
        <v>20</v>
      </c>
      <c r="BM448">
        <v>4</v>
      </c>
    </row>
    <row r="449" spans="1:65" x14ac:dyDescent="0.45">
      <c r="A449" s="33"/>
      <c r="B449" s="32">
        <v>3</v>
      </c>
      <c r="C449" s="32">
        <v>447</v>
      </c>
      <c r="D449" s="32">
        <v>60</v>
      </c>
      <c r="E449" s="32">
        <v>60</v>
      </c>
      <c r="F449" s="32">
        <v>60</v>
      </c>
      <c r="G449" s="32">
        <v>60</v>
      </c>
      <c r="H449" s="32">
        <v>60</v>
      </c>
      <c r="I449" s="32">
        <v>60</v>
      </c>
      <c r="J449" s="32">
        <v>48</v>
      </c>
      <c r="K449" s="32">
        <v>48</v>
      </c>
      <c r="L449" s="32"/>
      <c r="M449" s="39"/>
      <c r="N449" s="43">
        <f t="shared" si="12"/>
        <v>8</v>
      </c>
      <c r="O449" s="33"/>
      <c r="P449" s="32">
        <v>3</v>
      </c>
      <c r="Q449" s="32">
        <v>447</v>
      </c>
      <c r="R449" s="32">
        <v>120</v>
      </c>
      <c r="S449" s="32">
        <v>120</v>
      </c>
      <c r="T449" s="32">
        <v>120</v>
      </c>
      <c r="U449" s="32">
        <v>96</v>
      </c>
      <c r="V449" s="32"/>
      <c r="W449" s="32"/>
      <c r="X449">
        <f t="shared" si="13"/>
        <v>4</v>
      </c>
      <c r="BK449" s="32">
        <v>447</v>
      </c>
      <c r="BL449">
        <v>20</v>
      </c>
      <c r="BM449">
        <v>4</v>
      </c>
    </row>
    <row r="450" spans="1:65" x14ac:dyDescent="0.45">
      <c r="A450" s="33"/>
      <c r="B450" s="32">
        <v>4</v>
      </c>
      <c r="C450" s="32">
        <v>448</v>
      </c>
      <c r="D450" s="32">
        <v>60</v>
      </c>
      <c r="E450" s="32">
        <v>60</v>
      </c>
      <c r="F450" s="32">
        <v>60</v>
      </c>
      <c r="G450" s="32">
        <v>60</v>
      </c>
      <c r="H450" s="32">
        <v>60</v>
      </c>
      <c r="I450" s="32">
        <v>60</v>
      </c>
      <c r="J450" s="32">
        <v>48</v>
      </c>
      <c r="K450" s="32">
        <v>48</v>
      </c>
      <c r="L450" s="32"/>
      <c r="M450" s="39"/>
      <c r="N450" s="43">
        <f t="shared" si="12"/>
        <v>8</v>
      </c>
      <c r="O450" s="33"/>
      <c r="P450" s="32">
        <v>4</v>
      </c>
      <c r="Q450" s="32">
        <v>448</v>
      </c>
      <c r="R450" s="32">
        <v>120</v>
      </c>
      <c r="S450" s="32">
        <v>120</v>
      </c>
      <c r="T450" s="32">
        <v>120</v>
      </c>
      <c r="U450" s="32">
        <v>96</v>
      </c>
      <c r="V450" s="32"/>
      <c r="W450" s="32"/>
      <c r="X450">
        <f t="shared" si="13"/>
        <v>4</v>
      </c>
      <c r="BK450" s="32">
        <v>448</v>
      </c>
      <c r="BL450">
        <v>20</v>
      </c>
      <c r="BM450">
        <v>4</v>
      </c>
    </row>
    <row r="451" spans="1:65" x14ac:dyDescent="0.45">
      <c r="A451" s="33"/>
      <c r="B451" s="32">
        <v>5</v>
      </c>
      <c r="C451" s="32">
        <v>449</v>
      </c>
      <c r="D451" s="32">
        <v>60</v>
      </c>
      <c r="E451" s="32">
        <v>60</v>
      </c>
      <c r="F451" s="32">
        <v>60</v>
      </c>
      <c r="G451" s="32">
        <v>60</v>
      </c>
      <c r="H451" s="32">
        <v>60</v>
      </c>
      <c r="I451" s="32">
        <v>60</v>
      </c>
      <c r="J451" s="32">
        <v>48</v>
      </c>
      <c r="K451" s="32">
        <v>48</v>
      </c>
      <c r="L451" s="32"/>
      <c r="M451" s="39"/>
      <c r="N451" s="43">
        <f t="shared" si="12"/>
        <v>8</v>
      </c>
      <c r="O451" s="33"/>
      <c r="P451" s="32">
        <v>5</v>
      </c>
      <c r="Q451" s="32">
        <v>449</v>
      </c>
      <c r="R451" s="32">
        <v>120</v>
      </c>
      <c r="S451" s="32">
        <v>120</v>
      </c>
      <c r="T451" s="32">
        <v>120</v>
      </c>
      <c r="U451" s="32">
        <v>96</v>
      </c>
      <c r="V451" s="32"/>
      <c r="W451" s="32"/>
      <c r="X451">
        <f t="shared" si="13"/>
        <v>4</v>
      </c>
      <c r="BK451" s="32">
        <v>449</v>
      </c>
      <c r="BL451">
        <v>20</v>
      </c>
      <c r="BM451">
        <v>4</v>
      </c>
    </row>
    <row r="452" spans="1:65" x14ac:dyDescent="0.45">
      <c r="A452" s="33"/>
      <c r="B452" s="32">
        <v>6</v>
      </c>
      <c r="C452" s="32">
        <v>450</v>
      </c>
      <c r="D452" s="32">
        <v>60</v>
      </c>
      <c r="E452" s="32">
        <v>60</v>
      </c>
      <c r="F452" s="32">
        <v>60</v>
      </c>
      <c r="G452" s="32">
        <v>60</v>
      </c>
      <c r="H452" s="32">
        <v>60</v>
      </c>
      <c r="I452" s="32">
        <v>60</v>
      </c>
      <c r="J452" s="32">
        <v>48</v>
      </c>
      <c r="K452" s="32">
        <v>48</v>
      </c>
      <c r="L452" s="32"/>
      <c r="M452" s="39"/>
      <c r="N452" s="43">
        <f t="shared" ref="N452:N515" si="14">COUNT(D452:M452)</f>
        <v>8</v>
      </c>
      <c r="O452" s="33"/>
      <c r="P452" s="32">
        <v>6</v>
      </c>
      <c r="Q452" s="32">
        <v>450</v>
      </c>
      <c r="R452" s="32">
        <v>120</v>
      </c>
      <c r="S452" s="32">
        <v>120</v>
      </c>
      <c r="T452" s="32">
        <v>120</v>
      </c>
      <c r="U452" s="32">
        <v>96</v>
      </c>
      <c r="V452" s="32"/>
      <c r="W452" s="32"/>
      <c r="X452">
        <f t="shared" ref="X452:X515" si="15">COUNT(R452:W452)</f>
        <v>4</v>
      </c>
      <c r="BK452" s="32">
        <v>450</v>
      </c>
      <c r="BL452">
        <v>20</v>
      </c>
      <c r="BM452">
        <v>4</v>
      </c>
    </row>
    <row r="453" spans="1:65" x14ac:dyDescent="0.45">
      <c r="A453" s="33"/>
      <c r="B453" s="32">
        <v>7</v>
      </c>
      <c r="C453" s="32">
        <v>451</v>
      </c>
      <c r="D453" s="32">
        <v>60</v>
      </c>
      <c r="E453" s="32">
        <v>60</v>
      </c>
      <c r="F453" s="32">
        <v>60</v>
      </c>
      <c r="G453" s="32">
        <v>60</v>
      </c>
      <c r="H453" s="32">
        <v>60</v>
      </c>
      <c r="I453" s="32">
        <v>60</v>
      </c>
      <c r="J453" s="32">
        <v>48</v>
      </c>
      <c r="K453" s="32">
        <v>48</v>
      </c>
      <c r="L453" s="32"/>
      <c r="M453" s="39"/>
      <c r="N453" s="43">
        <f t="shared" si="14"/>
        <v>8</v>
      </c>
      <c r="O453" s="33"/>
      <c r="P453" s="32">
        <v>7</v>
      </c>
      <c r="Q453" s="32">
        <v>451</v>
      </c>
      <c r="R453" s="32">
        <v>120</v>
      </c>
      <c r="S453" s="32">
        <v>120</v>
      </c>
      <c r="T453" s="32">
        <v>120</v>
      </c>
      <c r="U453" s="32">
        <v>96</v>
      </c>
      <c r="V453" s="32"/>
      <c r="W453" s="32"/>
      <c r="X453">
        <f t="shared" si="15"/>
        <v>4</v>
      </c>
      <c r="BK453" s="32">
        <v>451</v>
      </c>
      <c r="BL453">
        <v>20</v>
      </c>
      <c r="BM453">
        <v>4</v>
      </c>
    </row>
    <row r="454" spans="1:65" x14ac:dyDescent="0.45">
      <c r="A454" s="33"/>
      <c r="B454" s="32">
        <v>8</v>
      </c>
      <c r="C454" s="32">
        <v>452</v>
      </c>
      <c r="D454" s="32">
        <v>60</v>
      </c>
      <c r="E454" s="32">
        <v>60</v>
      </c>
      <c r="F454" s="32">
        <v>60</v>
      </c>
      <c r="G454" s="32">
        <v>60</v>
      </c>
      <c r="H454" s="32">
        <v>60</v>
      </c>
      <c r="I454" s="32">
        <v>60</v>
      </c>
      <c r="J454" s="32">
        <v>48</v>
      </c>
      <c r="K454" s="32">
        <v>48</v>
      </c>
      <c r="L454" s="32"/>
      <c r="M454" s="39"/>
      <c r="N454" s="43">
        <f t="shared" si="14"/>
        <v>8</v>
      </c>
      <c r="O454" s="33"/>
      <c r="P454" s="32">
        <v>8</v>
      </c>
      <c r="Q454" s="32">
        <v>452</v>
      </c>
      <c r="R454" s="32">
        <v>120</v>
      </c>
      <c r="S454" s="32">
        <v>120</v>
      </c>
      <c r="T454" s="32">
        <v>120</v>
      </c>
      <c r="U454" s="32">
        <v>96</v>
      </c>
      <c r="V454" s="32"/>
      <c r="W454" s="32"/>
      <c r="X454">
        <f t="shared" si="15"/>
        <v>4</v>
      </c>
      <c r="BK454" s="32">
        <v>452</v>
      </c>
      <c r="BL454">
        <v>20</v>
      </c>
      <c r="BM454">
        <v>4</v>
      </c>
    </row>
    <row r="455" spans="1:65" x14ac:dyDescent="0.45">
      <c r="A455" s="33"/>
      <c r="B455" s="32">
        <v>9</v>
      </c>
      <c r="C455" s="32">
        <v>453</v>
      </c>
      <c r="D455" s="32">
        <v>60</v>
      </c>
      <c r="E455" s="32">
        <v>60</v>
      </c>
      <c r="F455" s="32">
        <v>60</v>
      </c>
      <c r="G455" s="32">
        <v>60</v>
      </c>
      <c r="H455" s="32">
        <v>60</v>
      </c>
      <c r="I455" s="32">
        <v>60</v>
      </c>
      <c r="J455" s="32">
        <v>48</v>
      </c>
      <c r="K455" s="32">
        <v>48</v>
      </c>
      <c r="L455" s="32"/>
      <c r="M455" s="39"/>
      <c r="N455" s="43">
        <f t="shared" si="14"/>
        <v>8</v>
      </c>
      <c r="O455" s="33"/>
      <c r="P455" s="32">
        <v>9</v>
      </c>
      <c r="Q455" s="32">
        <v>453</v>
      </c>
      <c r="R455" s="32">
        <v>120</v>
      </c>
      <c r="S455" s="32">
        <v>120</v>
      </c>
      <c r="T455" s="32">
        <v>120</v>
      </c>
      <c r="U455" s="32">
        <v>96</v>
      </c>
      <c r="V455" s="32"/>
      <c r="W455" s="32"/>
      <c r="X455">
        <f t="shared" si="15"/>
        <v>4</v>
      </c>
      <c r="BK455" s="32">
        <v>453</v>
      </c>
      <c r="BL455">
        <v>20</v>
      </c>
      <c r="BM455">
        <v>4</v>
      </c>
    </row>
    <row r="456" spans="1:65" x14ac:dyDescent="0.45">
      <c r="A456" s="33"/>
      <c r="B456" s="32">
        <v>10</v>
      </c>
      <c r="C456" s="32">
        <v>454</v>
      </c>
      <c r="D456" s="32">
        <v>60</v>
      </c>
      <c r="E456" s="32">
        <v>60</v>
      </c>
      <c r="F456" s="32">
        <v>60</v>
      </c>
      <c r="G456" s="32">
        <v>60</v>
      </c>
      <c r="H456" s="32">
        <v>60</v>
      </c>
      <c r="I456" s="32">
        <v>60</v>
      </c>
      <c r="J456" s="32">
        <v>48</v>
      </c>
      <c r="K456" s="32">
        <v>48</v>
      </c>
      <c r="L456" s="32"/>
      <c r="M456" s="39"/>
      <c r="N456" s="43">
        <f t="shared" si="14"/>
        <v>8</v>
      </c>
      <c r="O456" s="33"/>
      <c r="P456" s="32">
        <v>10</v>
      </c>
      <c r="Q456" s="32">
        <v>454</v>
      </c>
      <c r="R456" s="32">
        <v>120</v>
      </c>
      <c r="S456" s="32">
        <v>120</v>
      </c>
      <c r="T456" s="32">
        <v>120</v>
      </c>
      <c r="U456" s="32">
        <v>96</v>
      </c>
      <c r="V456" s="32"/>
      <c r="W456" s="32"/>
      <c r="X456">
        <f t="shared" si="15"/>
        <v>4</v>
      </c>
      <c r="BK456" s="32">
        <v>454</v>
      </c>
      <c r="BL456">
        <v>20</v>
      </c>
      <c r="BM456">
        <v>4</v>
      </c>
    </row>
    <row r="457" spans="1:65" x14ac:dyDescent="0.45">
      <c r="A457" s="33"/>
      <c r="B457" s="32">
        <v>11</v>
      </c>
      <c r="C457" s="32">
        <v>455</v>
      </c>
      <c r="D457" s="32">
        <v>60</v>
      </c>
      <c r="E457" s="32">
        <v>60</v>
      </c>
      <c r="F457" s="32">
        <v>60</v>
      </c>
      <c r="G457" s="32">
        <v>60</v>
      </c>
      <c r="H457" s="32">
        <v>60</v>
      </c>
      <c r="I457" s="32">
        <v>60</v>
      </c>
      <c r="J457" s="32">
        <v>48</v>
      </c>
      <c r="K457" s="32">
        <v>48</v>
      </c>
      <c r="L457" s="32"/>
      <c r="M457" s="39"/>
      <c r="N457" s="43">
        <f t="shared" si="14"/>
        <v>8</v>
      </c>
      <c r="O457" s="33"/>
      <c r="P457" s="32">
        <v>11</v>
      </c>
      <c r="Q457" s="32">
        <v>455</v>
      </c>
      <c r="R457" s="32">
        <v>120</v>
      </c>
      <c r="S457" s="32">
        <v>120</v>
      </c>
      <c r="T457" s="32">
        <v>120</v>
      </c>
      <c r="U457" s="32">
        <v>96</v>
      </c>
      <c r="V457" s="32"/>
      <c r="W457" s="32"/>
      <c r="X457">
        <f t="shared" si="15"/>
        <v>4</v>
      </c>
      <c r="BK457" s="32">
        <v>455</v>
      </c>
      <c r="BL457">
        <v>20</v>
      </c>
      <c r="BM457">
        <v>4</v>
      </c>
    </row>
    <row r="458" spans="1:65" x14ac:dyDescent="0.45">
      <c r="A458" s="33">
        <v>38</v>
      </c>
      <c r="B458" s="32"/>
      <c r="C458" s="32">
        <v>456</v>
      </c>
      <c r="D458" s="32">
        <v>60</v>
      </c>
      <c r="E458" s="32">
        <v>60</v>
      </c>
      <c r="F458" s="32">
        <v>60</v>
      </c>
      <c r="G458" s="32">
        <v>60</v>
      </c>
      <c r="H458" s="32">
        <v>60</v>
      </c>
      <c r="I458" s="32">
        <v>60</v>
      </c>
      <c r="J458" s="32">
        <v>48</v>
      </c>
      <c r="K458" s="32">
        <v>48</v>
      </c>
      <c r="L458" s="32"/>
      <c r="M458" s="39"/>
      <c r="N458" s="43">
        <f t="shared" si="14"/>
        <v>8</v>
      </c>
      <c r="O458" s="33">
        <v>38</v>
      </c>
      <c r="P458" s="32"/>
      <c r="Q458" s="32">
        <v>456</v>
      </c>
      <c r="R458" s="32">
        <v>120</v>
      </c>
      <c r="S458" s="32">
        <v>120</v>
      </c>
      <c r="T458" s="32">
        <v>120</v>
      </c>
      <c r="U458" s="32">
        <v>96</v>
      </c>
      <c r="V458" s="32"/>
      <c r="W458" s="32"/>
      <c r="X458">
        <f t="shared" si="15"/>
        <v>4</v>
      </c>
      <c r="BK458" s="32">
        <v>456</v>
      </c>
      <c r="BL458">
        <v>20</v>
      </c>
      <c r="BM458">
        <v>4</v>
      </c>
    </row>
    <row r="459" spans="1:65" x14ac:dyDescent="0.45">
      <c r="A459" s="33"/>
      <c r="B459" s="32">
        <v>1</v>
      </c>
      <c r="C459" s="32">
        <v>457</v>
      </c>
      <c r="D459" s="32">
        <v>60</v>
      </c>
      <c r="E459" s="32">
        <v>60</v>
      </c>
      <c r="F459" s="32">
        <v>60</v>
      </c>
      <c r="G459" s="32">
        <v>60</v>
      </c>
      <c r="H459" s="32">
        <v>60</v>
      </c>
      <c r="I459" s="32">
        <v>60</v>
      </c>
      <c r="J459" s="32">
        <v>60</v>
      </c>
      <c r="K459" s="32">
        <v>48</v>
      </c>
      <c r="L459" s="32"/>
      <c r="M459" s="39"/>
      <c r="N459" s="43">
        <f t="shared" si="14"/>
        <v>8</v>
      </c>
      <c r="O459" s="33"/>
      <c r="P459" s="32">
        <v>1</v>
      </c>
      <c r="Q459" s="32">
        <v>457</v>
      </c>
      <c r="R459" s="32">
        <v>120</v>
      </c>
      <c r="S459" s="32">
        <v>120</v>
      </c>
      <c r="T459" s="32">
        <v>120</v>
      </c>
      <c r="U459" s="32">
        <v>60</v>
      </c>
      <c r="V459" s="32">
        <v>48</v>
      </c>
      <c r="W459" s="32"/>
      <c r="X459">
        <f t="shared" si="15"/>
        <v>5</v>
      </c>
      <c r="BK459" s="32">
        <v>457</v>
      </c>
      <c r="BL459">
        <v>20</v>
      </c>
      <c r="BM459">
        <v>4</v>
      </c>
    </row>
    <row r="460" spans="1:65" x14ac:dyDescent="0.45">
      <c r="A460" s="33"/>
      <c r="B460" s="32">
        <v>2</v>
      </c>
      <c r="C460" s="32">
        <v>458</v>
      </c>
      <c r="D460" s="32">
        <v>60</v>
      </c>
      <c r="E460" s="32">
        <v>60</v>
      </c>
      <c r="F460" s="32">
        <v>60</v>
      </c>
      <c r="G460" s="32">
        <v>60</v>
      </c>
      <c r="H460" s="32">
        <v>60</v>
      </c>
      <c r="I460" s="32">
        <v>60</v>
      </c>
      <c r="J460" s="32">
        <v>60</v>
      </c>
      <c r="K460" s="32">
        <v>48</v>
      </c>
      <c r="L460" s="32"/>
      <c r="M460" s="39"/>
      <c r="N460" s="43">
        <f t="shared" si="14"/>
        <v>8</v>
      </c>
      <c r="O460" s="33"/>
      <c r="P460" s="32">
        <v>2</v>
      </c>
      <c r="Q460" s="32">
        <v>458</v>
      </c>
      <c r="R460" s="32">
        <v>120</v>
      </c>
      <c r="S460" s="32">
        <v>120</v>
      </c>
      <c r="T460" s="32">
        <v>120</v>
      </c>
      <c r="U460" s="32">
        <v>60</v>
      </c>
      <c r="V460" s="32">
        <v>48</v>
      </c>
      <c r="W460" s="32"/>
      <c r="X460">
        <f t="shared" si="15"/>
        <v>5</v>
      </c>
      <c r="BK460" s="32">
        <v>458</v>
      </c>
      <c r="BL460">
        <v>20</v>
      </c>
      <c r="BM460">
        <v>4</v>
      </c>
    </row>
    <row r="461" spans="1:65" x14ac:dyDescent="0.45">
      <c r="A461" s="33"/>
      <c r="B461" s="32">
        <v>3</v>
      </c>
      <c r="C461" s="32">
        <v>459</v>
      </c>
      <c r="D461" s="32">
        <v>60</v>
      </c>
      <c r="E461" s="32">
        <v>60</v>
      </c>
      <c r="F461" s="32">
        <v>60</v>
      </c>
      <c r="G461" s="32">
        <v>60</v>
      </c>
      <c r="H461" s="32">
        <v>60</v>
      </c>
      <c r="I461" s="32">
        <v>60</v>
      </c>
      <c r="J461" s="32">
        <v>60</v>
      </c>
      <c r="K461" s="32">
        <v>48</v>
      </c>
      <c r="L461" s="32"/>
      <c r="M461" s="39"/>
      <c r="N461" s="43">
        <f t="shared" si="14"/>
        <v>8</v>
      </c>
      <c r="O461" s="33"/>
      <c r="P461" s="32">
        <v>3</v>
      </c>
      <c r="Q461" s="32">
        <v>459</v>
      </c>
      <c r="R461" s="32">
        <v>120</v>
      </c>
      <c r="S461" s="32">
        <v>120</v>
      </c>
      <c r="T461" s="32">
        <v>120</v>
      </c>
      <c r="U461" s="32">
        <v>60</v>
      </c>
      <c r="V461" s="32">
        <v>48</v>
      </c>
      <c r="W461" s="32"/>
      <c r="X461">
        <f t="shared" si="15"/>
        <v>5</v>
      </c>
      <c r="BK461" s="32">
        <v>459</v>
      </c>
      <c r="BL461">
        <v>20</v>
      </c>
      <c r="BM461">
        <v>4</v>
      </c>
    </row>
    <row r="462" spans="1:65" x14ac:dyDescent="0.45">
      <c r="A462" s="33"/>
      <c r="B462" s="32">
        <v>4</v>
      </c>
      <c r="C462" s="32">
        <v>460</v>
      </c>
      <c r="D462" s="32">
        <v>60</v>
      </c>
      <c r="E462" s="32">
        <v>60</v>
      </c>
      <c r="F462" s="32">
        <v>60</v>
      </c>
      <c r="G462" s="32">
        <v>60</v>
      </c>
      <c r="H462" s="32">
        <v>60</v>
      </c>
      <c r="I462" s="32">
        <v>60</v>
      </c>
      <c r="J462" s="32">
        <v>60</v>
      </c>
      <c r="K462" s="32">
        <v>48</v>
      </c>
      <c r="L462" s="32"/>
      <c r="M462" s="39"/>
      <c r="N462" s="43">
        <f t="shared" si="14"/>
        <v>8</v>
      </c>
      <c r="O462" s="33"/>
      <c r="P462" s="32">
        <v>4</v>
      </c>
      <c r="Q462" s="32">
        <v>460</v>
      </c>
      <c r="R462" s="32">
        <v>120</v>
      </c>
      <c r="S462" s="32">
        <v>120</v>
      </c>
      <c r="T462" s="32">
        <v>120</v>
      </c>
      <c r="U462" s="32">
        <v>60</v>
      </c>
      <c r="V462" s="32">
        <v>48</v>
      </c>
      <c r="W462" s="32"/>
      <c r="X462">
        <f t="shared" si="15"/>
        <v>5</v>
      </c>
      <c r="BK462" s="32">
        <v>460</v>
      </c>
      <c r="BL462">
        <v>20</v>
      </c>
      <c r="BM462">
        <v>4</v>
      </c>
    </row>
    <row r="463" spans="1:65" x14ac:dyDescent="0.45">
      <c r="A463" s="33"/>
      <c r="B463" s="32">
        <v>5</v>
      </c>
      <c r="C463" s="32">
        <v>461</v>
      </c>
      <c r="D463" s="32">
        <v>60</v>
      </c>
      <c r="E463" s="32">
        <v>60</v>
      </c>
      <c r="F463" s="32">
        <v>60</v>
      </c>
      <c r="G463" s="32">
        <v>60</v>
      </c>
      <c r="H463" s="32">
        <v>60</v>
      </c>
      <c r="I463" s="32">
        <v>60</v>
      </c>
      <c r="J463" s="32">
        <v>60</v>
      </c>
      <c r="K463" s="32">
        <v>48</v>
      </c>
      <c r="L463" s="32"/>
      <c r="M463" s="39"/>
      <c r="N463" s="43">
        <f t="shared" si="14"/>
        <v>8</v>
      </c>
      <c r="O463" s="33"/>
      <c r="P463" s="32">
        <v>5</v>
      </c>
      <c r="Q463" s="32">
        <v>461</v>
      </c>
      <c r="R463" s="32">
        <v>120</v>
      </c>
      <c r="S463" s="32">
        <v>120</v>
      </c>
      <c r="T463" s="32">
        <v>120</v>
      </c>
      <c r="U463" s="32">
        <v>60</v>
      </c>
      <c r="V463" s="32">
        <v>48</v>
      </c>
      <c r="W463" s="32"/>
      <c r="X463">
        <f t="shared" si="15"/>
        <v>5</v>
      </c>
      <c r="BK463" s="32">
        <v>461</v>
      </c>
      <c r="BL463">
        <v>20</v>
      </c>
      <c r="BM463">
        <v>4</v>
      </c>
    </row>
    <row r="464" spans="1:65" x14ac:dyDescent="0.45">
      <c r="A464" s="33"/>
      <c r="B464" s="32">
        <v>6</v>
      </c>
      <c r="C464" s="32">
        <v>462</v>
      </c>
      <c r="D464" s="32">
        <v>60</v>
      </c>
      <c r="E464" s="32">
        <v>60</v>
      </c>
      <c r="F464" s="32">
        <v>60</v>
      </c>
      <c r="G464" s="32">
        <v>60</v>
      </c>
      <c r="H464" s="32">
        <v>60</v>
      </c>
      <c r="I464" s="32">
        <v>60</v>
      </c>
      <c r="J464" s="32">
        <v>60</v>
      </c>
      <c r="K464" s="32">
        <v>48</v>
      </c>
      <c r="L464" s="32"/>
      <c r="M464" s="39"/>
      <c r="N464" s="43">
        <f t="shared" si="14"/>
        <v>8</v>
      </c>
      <c r="O464" s="33"/>
      <c r="P464" s="32">
        <v>6</v>
      </c>
      <c r="Q464" s="32">
        <v>462</v>
      </c>
      <c r="R464" s="32">
        <v>120</v>
      </c>
      <c r="S464" s="32">
        <v>120</v>
      </c>
      <c r="T464" s="32">
        <v>120</v>
      </c>
      <c r="U464" s="32">
        <v>60</v>
      </c>
      <c r="V464" s="32">
        <v>48</v>
      </c>
      <c r="W464" s="32"/>
      <c r="X464">
        <f t="shared" si="15"/>
        <v>5</v>
      </c>
      <c r="BK464" s="32">
        <v>462</v>
      </c>
      <c r="BL464">
        <v>20</v>
      </c>
      <c r="BM464">
        <v>4</v>
      </c>
    </row>
    <row r="465" spans="1:65" x14ac:dyDescent="0.45">
      <c r="A465" s="33"/>
      <c r="B465" s="32">
        <v>7</v>
      </c>
      <c r="C465" s="32">
        <v>463</v>
      </c>
      <c r="D465" s="32">
        <v>60</v>
      </c>
      <c r="E465" s="32">
        <v>60</v>
      </c>
      <c r="F465" s="32">
        <v>60</v>
      </c>
      <c r="G465" s="32">
        <v>60</v>
      </c>
      <c r="H465" s="32">
        <v>60</v>
      </c>
      <c r="I465" s="32">
        <v>60</v>
      </c>
      <c r="J465" s="32">
        <v>60</v>
      </c>
      <c r="K465" s="32">
        <v>48</v>
      </c>
      <c r="L465" s="32"/>
      <c r="M465" s="39"/>
      <c r="N465" s="43">
        <f t="shared" si="14"/>
        <v>8</v>
      </c>
      <c r="O465" s="33"/>
      <c r="P465" s="32">
        <v>7</v>
      </c>
      <c r="Q465" s="32">
        <v>463</v>
      </c>
      <c r="R465" s="32">
        <v>120</v>
      </c>
      <c r="S465" s="32">
        <v>120</v>
      </c>
      <c r="T465" s="32">
        <v>120</v>
      </c>
      <c r="U465" s="32">
        <v>60</v>
      </c>
      <c r="V465" s="32">
        <v>48</v>
      </c>
      <c r="W465" s="32"/>
      <c r="X465">
        <f t="shared" si="15"/>
        <v>5</v>
      </c>
      <c r="BK465" s="32">
        <v>463</v>
      </c>
      <c r="BL465">
        <v>20</v>
      </c>
      <c r="BM465">
        <v>4</v>
      </c>
    </row>
    <row r="466" spans="1:65" x14ac:dyDescent="0.45">
      <c r="A466" s="33"/>
      <c r="B466" s="32">
        <v>8</v>
      </c>
      <c r="C466" s="32">
        <v>464</v>
      </c>
      <c r="D466" s="32">
        <v>60</v>
      </c>
      <c r="E466" s="32">
        <v>60</v>
      </c>
      <c r="F466" s="32">
        <v>60</v>
      </c>
      <c r="G466" s="32">
        <v>60</v>
      </c>
      <c r="H466" s="32">
        <v>60</v>
      </c>
      <c r="I466" s="32">
        <v>60</v>
      </c>
      <c r="J466" s="32">
        <v>60</v>
      </c>
      <c r="K466" s="32">
        <v>48</v>
      </c>
      <c r="L466" s="32"/>
      <c r="M466" s="39"/>
      <c r="N466" s="43">
        <f t="shared" si="14"/>
        <v>8</v>
      </c>
      <c r="O466" s="33"/>
      <c r="P466" s="32">
        <v>8</v>
      </c>
      <c r="Q466" s="32">
        <v>464</v>
      </c>
      <c r="R466" s="32">
        <v>120</v>
      </c>
      <c r="S466" s="32">
        <v>120</v>
      </c>
      <c r="T466" s="32">
        <v>120</v>
      </c>
      <c r="U466" s="32">
        <v>60</v>
      </c>
      <c r="V466" s="32">
        <v>48</v>
      </c>
      <c r="W466" s="32"/>
      <c r="X466">
        <f t="shared" si="15"/>
        <v>5</v>
      </c>
      <c r="BK466" s="32">
        <v>464</v>
      </c>
      <c r="BL466">
        <v>20</v>
      </c>
      <c r="BM466">
        <v>4</v>
      </c>
    </row>
    <row r="467" spans="1:65" x14ac:dyDescent="0.45">
      <c r="A467" s="33"/>
      <c r="B467" s="32">
        <v>9</v>
      </c>
      <c r="C467" s="32">
        <v>465</v>
      </c>
      <c r="D467" s="32">
        <v>60</v>
      </c>
      <c r="E467" s="32">
        <v>60</v>
      </c>
      <c r="F467" s="32">
        <v>60</v>
      </c>
      <c r="G467" s="32">
        <v>60</v>
      </c>
      <c r="H467" s="32">
        <v>60</v>
      </c>
      <c r="I467" s="32">
        <v>60</v>
      </c>
      <c r="J467" s="32">
        <v>60</v>
      </c>
      <c r="K467" s="32">
        <v>48</v>
      </c>
      <c r="L467" s="32"/>
      <c r="M467" s="39"/>
      <c r="N467" s="43">
        <f t="shared" si="14"/>
        <v>8</v>
      </c>
      <c r="O467" s="33"/>
      <c r="P467" s="32">
        <v>9</v>
      </c>
      <c r="Q467" s="32">
        <v>465</v>
      </c>
      <c r="R467" s="32">
        <v>120</v>
      </c>
      <c r="S467" s="32">
        <v>120</v>
      </c>
      <c r="T467" s="32">
        <v>120</v>
      </c>
      <c r="U467" s="32">
        <v>60</v>
      </c>
      <c r="V467" s="32">
        <v>48</v>
      </c>
      <c r="W467" s="32"/>
      <c r="X467">
        <f t="shared" si="15"/>
        <v>5</v>
      </c>
      <c r="BK467" s="32">
        <v>465</v>
      </c>
      <c r="BL467">
        <v>20</v>
      </c>
      <c r="BM467">
        <v>4</v>
      </c>
    </row>
    <row r="468" spans="1:65" x14ac:dyDescent="0.45">
      <c r="A468" s="33"/>
      <c r="B468" s="32">
        <v>10</v>
      </c>
      <c r="C468" s="32">
        <v>466</v>
      </c>
      <c r="D468" s="32">
        <v>60</v>
      </c>
      <c r="E468" s="32">
        <v>60</v>
      </c>
      <c r="F468" s="32">
        <v>60</v>
      </c>
      <c r="G468" s="32">
        <v>60</v>
      </c>
      <c r="H468" s="32">
        <v>60</v>
      </c>
      <c r="I468" s="32">
        <v>60</v>
      </c>
      <c r="J468" s="32">
        <v>60</v>
      </c>
      <c r="K468" s="32">
        <v>48</v>
      </c>
      <c r="L468" s="32"/>
      <c r="M468" s="39"/>
      <c r="N468" s="43">
        <f t="shared" si="14"/>
        <v>8</v>
      </c>
      <c r="O468" s="33"/>
      <c r="P468" s="32">
        <v>10</v>
      </c>
      <c r="Q468" s="32">
        <v>466</v>
      </c>
      <c r="R468" s="32">
        <v>120</v>
      </c>
      <c r="S468" s="32">
        <v>120</v>
      </c>
      <c r="T468" s="32">
        <v>120</v>
      </c>
      <c r="U468" s="32">
        <v>60</v>
      </c>
      <c r="V468" s="32">
        <v>48</v>
      </c>
      <c r="W468" s="32"/>
      <c r="X468">
        <f t="shared" si="15"/>
        <v>5</v>
      </c>
      <c r="BK468" s="32">
        <v>466</v>
      </c>
      <c r="BL468">
        <v>20</v>
      </c>
      <c r="BM468">
        <v>4</v>
      </c>
    </row>
    <row r="469" spans="1:65" x14ac:dyDescent="0.45">
      <c r="A469" s="33"/>
      <c r="B469" s="32">
        <v>11</v>
      </c>
      <c r="C469" s="32">
        <v>467</v>
      </c>
      <c r="D469" s="32">
        <v>60</v>
      </c>
      <c r="E469" s="32">
        <v>60</v>
      </c>
      <c r="F469" s="32">
        <v>60</v>
      </c>
      <c r="G469" s="32">
        <v>60</v>
      </c>
      <c r="H469" s="32">
        <v>60</v>
      </c>
      <c r="I469" s="32">
        <v>60</v>
      </c>
      <c r="J469" s="32">
        <v>60</v>
      </c>
      <c r="K469" s="32">
        <v>48</v>
      </c>
      <c r="L469" s="32"/>
      <c r="M469" s="39"/>
      <c r="N469" s="43">
        <f t="shared" si="14"/>
        <v>8</v>
      </c>
      <c r="O469" s="33"/>
      <c r="P469" s="32">
        <v>11</v>
      </c>
      <c r="Q469" s="32">
        <v>467</v>
      </c>
      <c r="R469" s="32">
        <v>120</v>
      </c>
      <c r="S469" s="32">
        <v>120</v>
      </c>
      <c r="T469" s="32">
        <v>120</v>
      </c>
      <c r="U469" s="32">
        <v>60</v>
      </c>
      <c r="V469" s="32">
        <v>48</v>
      </c>
      <c r="W469" s="32"/>
      <c r="X469">
        <f t="shared" si="15"/>
        <v>5</v>
      </c>
      <c r="BK469" s="32">
        <v>467</v>
      </c>
      <c r="BL469">
        <v>20</v>
      </c>
      <c r="BM469">
        <v>4</v>
      </c>
    </row>
    <row r="470" spans="1:65" x14ac:dyDescent="0.45">
      <c r="A470" s="33">
        <v>39</v>
      </c>
      <c r="B470" s="32"/>
      <c r="C470" s="32">
        <v>468</v>
      </c>
      <c r="D470" s="32">
        <v>60</v>
      </c>
      <c r="E470" s="32">
        <v>60</v>
      </c>
      <c r="F470" s="32">
        <v>60</v>
      </c>
      <c r="G470" s="32">
        <v>60</v>
      </c>
      <c r="H470" s="32">
        <v>60</v>
      </c>
      <c r="I470" s="32">
        <v>60</v>
      </c>
      <c r="J470" s="32">
        <v>60</v>
      </c>
      <c r="K470" s="32">
        <v>48</v>
      </c>
      <c r="L470" s="32"/>
      <c r="M470" s="39"/>
      <c r="N470" s="43">
        <f t="shared" si="14"/>
        <v>8</v>
      </c>
      <c r="O470" s="33">
        <v>39</v>
      </c>
      <c r="P470" s="32"/>
      <c r="Q470" s="32">
        <v>468</v>
      </c>
      <c r="R470" s="32">
        <v>120</v>
      </c>
      <c r="S470" s="32">
        <v>120</v>
      </c>
      <c r="T470" s="32">
        <v>120</v>
      </c>
      <c r="U470" s="32">
        <v>60</v>
      </c>
      <c r="V470" s="32">
        <v>48</v>
      </c>
      <c r="W470" s="32"/>
      <c r="X470">
        <f t="shared" si="15"/>
        <v>5</v>
      </c>
      <c r="BK470" s="32">
        <v>468</v>
      </c>
      <c r="BL470">
        <v>20</v>
      </c>
      <c r="BM470">
        <v>4</v>
      </c>
    </row>
    <row r="471" spans="1:65" x14ac:dyDescent="0.45">
      <c r="A471" s="33"/>
      <c r="B471" s="32">
        <v>1</v>
      </c>
      <c r="C471" s="32">
        <v>469</v>
      </c>
      <c r="D471" s="32">
        <v>60</v>
      </c>
      <c r="E471" s="32">
        <v>60</v>
      </c>
      <c r="F471" s="32">
        <v>60</v>
      </c>
      <c r="G471" s="32">
        <v>60</v>
      </c>
      <c r="H471" s="32">
        <v>60</v>
      </c>
      <c r="I471" s="32">
        <v>60</v>
      </c>
      <c r="J471" s="32">
        <v>60</v>
      </c>
      <c r="K471" s="32">
        <v>60</v>
      </c>
      <c r="L471" s="32"/>
      <c r="M471" s="39"/>
      <c r="N471" s="43">
        <f t="shared" si="14"/>
        <v>8</v>
      </c>
      <c r="O471" s="33"/>
      <c r="P471" s="32">
        <v>1</v>
      </c>
      <c r="Q471" s="32">
        <v>469</v>
      </c>
      <c r="R471" s="32">
        <v>120</v>
      </c>
      <c r="S471" s="32">
        <v>120</v>
      </c>
      <c r="T471" s="32">
        <v>120</v>
      </c>
      <c r="U471" s="32">
        <v>120</v>
      </c>
      <c r="V471" s="32"/>
      <c r="W471" s="32"/>
      <c r="X471">
        <f t="shared" si="15"/>
        <v>4</v>
      </c>
      <c r="BK471" s="32">
        <v>469</v>
      </c>
      <c r="BL471">
        <v>20</v>
      </c>
      <c r="BM471">
        <v>4</v>
      </c>
    </row>
    <row r="472" spans="1:65" x14ac:dyDescent="0.45">
      <c r="A472" s="33"/>
      <c r="B472" s="32">
        <v>2</v>
      </c>
      <c r="C472" s="32">
        <v>470</v>
      </c>
      <c r="D472" s="32">
        <v>60</v>
      </c>
      <c r="E472" s="32">
        <v>60</v>
      </c>
      <c r="F472" s="32">
        <v>60</v>
      </c>
      <c r="G472" s="32">
        <v>60</v>
      </c>
      <c r="H472" s="32">
        <v>60</v>
      </c>
      <c r="I472" s="32">
        <v>60</v>
      </c>
      <c r="J472" s="32">
        <v>60</v>
      </c>
      <c r="K472" s="32">
        <v>60</v>
      </c>
      <c r="L472" s="32"/>
      <c r="M472" s="39"/>
      <c r="N472" s="43">
        <f t="shared" si="14"/>
        <v>8</v>
      </c>
      <c r="O472" s="33"/>
      <c r="P472" s="32">
        <v>2</v>
      </c>
      <c r="Q472" s="32">
        <v>470</v>
      </c>
      <c r="R472" s="32">
        <v>120</v>
      </c>
      <c r="S472" s="32">
        <v>120</v>
      </c>
      <c r="T472" s="32">
        <v>120</v>
      </c>
      <c r="U472" s="32">
        <v>120</v>
      </c>
      <c r="V472" s="32"/>
      <c r="W472" s="32"/>
      <c r="X472">
        <f t="shared" si="15"/>
        <v>4</v>
      </c>
      <c r="BK472" s="32">
        <v>470</v>
      </c>
      <c r="BL472">
        <v>20</v>
      </c>
      <c r="BM472">
        <v>4</v>
      </c>
    </row>
    <row r="473" spans="1:65" x14ac:dyDescent="0.45">
      <c r="A473" s="33"/>
      <c r="B473" s="32">
        <v>3</v>
      </c>
      <c r="C473" s="32">
        <v>471</v>
      </c>
      <c r="D473" s="32">
        <v>60</v>
      </c>
      <c r="E473" s="32">
        <v>60</v>
      </c>
      <c r="F473" s="32">
        <v>60</v>
      </c>
      <c r="G473" s="32">
        <v>60</v>
      </c>
      <c r="H473" s="32">
        <v>60</v>
      </c>
      <c r="I473" s="32">
        <v>60</v>
      </c>
      <c r="J473" s="32">
        <v>60</v>
      </c>
      <c r="K473" s="32">
        <v>60</v>
      </c>
      <c r="L473" s="32"/>
      <c r="M473" s="39"/>
      <c r="N473" s="43">
        <f t="shared" si="14"/>
        <v>8</v>
      </c>
      <c r="O473" s="33"/>
      <c r="P473" s="32">
        <v>3</v>
      </c>
      <c r="Q473" s="32">
        <v>471</v>
      </c>
      <c r="R473" s="32">
        <v>120</v>
      </c>
      <c r="S473" s="32">
        <v>120</v>
      </c>
      <c r="T473" s="32">
        <v>120</v>
      </c>
      <c r="U473" s="32">
        <v>120</v>
      </c>
      <c r="V473" s="32"/>
      <c r="W473" s="32"/>
      <c r="X473">
        <f t="shared" si="15"/>
        <v>4</v>
      </c>
      <c r="BK473" s="32">
        <v>471</v>
      </c>
      <c r="BL473">
        <v>20</v>
      </c>
      <c r="BM473">
        <v>4</v>
      </c>
    </row>
    <row r="474" spans="1:65" x14ac:dyDescent="0.45">
      <c r="A474" s="33"/>
      <c r="B474" s="32">
        <v>4</v>
      </c>
      <c r="C474" s="32">
        <v>472</v>
      </c>
      <c r="D474" s="32">
        <v>60</v>
      </c>
      <c r="E474" s="32">
        <v>60</v>
      </c>
      <c r="F474" s="32">
        <v>60</v>
      </c>
      <c r="G474" s="32">
        <v>60</v>
      </c>
      <c r="H474" s="32">
        <v>60</v>
      </c>
      <c r="I474" s="32">
        <v>60</v>
      </c>
      <c r="J474" s="32">
        <v>60</v>
      </c>
      <c r="K474" s="32">
        <v>60</v>
      </c>
      <c r="L474" s="32"/>
      <c r="M474" s="39"/>
      <c r="N474" s="43">
        <f t="shared" si="14"/>
        <v>8</v>
      </c>
      <c r="O474" s="33"/>
      <c r="P474" s="32">
        <v>4</v>
      </c>
      <c r="Q474" s="32">
        <v>472</v>
      </c>
      <c r="R474" s="32">
        <v>120</v>
      </c>
      <c r="S474" s="32">
        <v>120</v>
      </c>
      <c r="T474" s="32">
        <v>120</v>
      </c>
      <c r="U474" s="32">
        <v>120</v>
      </c>
      <c r="V474" s="32"/>
      <c r="W474" s="32"/>
      <c r="X474">
        <f t="shared" si="15"/>
        <v>4</v>
      </c>
      <c r="BK474" s="32">
        <v>472</v>
      </c>
      <c r="BL474">
        <v>20</v>
      </c>
      <c r="BM474">
        <v>4</v>
      </c>
    </row>
    <row r="475" spans="1:65" x14ac:dyDescent="0.45">
      <c r="A475" s="33"/>
      <c r="B475" s="32">
        <v>5</v>
      </c>
      <c r="C475" s="32">
        <v>473</v>
      </c>
      <c r="D475" s="32">
        <v>60</v>
      </c>
      <c r="E475" s="32">
        <v>60</v>
      </c>
      <c r="F475" s="32">
        <v>60</v>
      </c>
      <c r="G475" s="32">
        <v>60</v>
      </c>
      <c r="H475" s="32">
        <v>60</v>
      </c>
      <c r="I475" s="32">
        <v>60</v>
      </c>
      <c r="J475" s="32">
        <v>60</v>
      </c>
      <c r="K475" s="32">
        <v>60</v>
      </c>
      <c r="L475" s="32"/>
      <c r="M475" s="39"/>
      <c r="N475" s="43">
        <f t="shared" si="14"/>
        <v>8</v>
      </c>
      <c r="O475" s="33"/>
      <c r="P475" s="32">
        <v>5</v>
      </c>
      <c r="Q475" s="32">
        <v>473</v>
      </c>
      <c r="R475" s="32">
        <v>120</v>
      </c>
      <c r="S475" s="32">
        <v>120</v>
      </c>
      <c r="T475" s="32">
        <v>120</v>
      </c>
      <c r="U475" s="32">
        <v>120</v>
      </c>
      <c r="V475" s="32"/>
      <c r="W475" s="32"/>
      <c r="X475">
        <f t="shared" si="15"/>
        <v>4</v>
      </c>
      <c r="BK475" s="32">
        <v>473</v>
      </c>
      <c r="BL475">
        <v>20</v>
      </c>
      <c r="BM475">
        <v>4</v>
      </c>
    </row>
    <row r="476" spans="1:65" x14ac:dyDescent="0.45">
      <c r="A476" s="33"/>
      <c r="B476" s="32">
        <v>6</v>
      </c>
      <c r="C476" s="32">
        <v>474</v>
      </c>
      <c r="D476" s="32">
        <v>60</v>
      </c>
      <c r="E476" s="32">
        <v>60</v>
      </c>
      <c r="F476" s="32">
        <v>60</v>
      </c>
      <c r="G476" s="32">
        <v>60</v>
      </c>
      <c r="H476" s="32">
        <v>60</v>
      </c>
      <c r="I476" s="32">
        <v>60</v>
      </c>
      <c r="J476" s="32">
        <v>60</v>
      </c>
      <c r="K476" s="32">
        <v>60</v>
      </c>
      <c r="L476" s="32"/>
      <c r="M476" s="39"/>
      <c r="N476" s="43">
        <f t="shared" si="14"/>
        <v>8</v>
      </c>
      <c r="O476" s="33"/>
      <c r="P476" s="32">
        <v>6</v>
      </c>
      <c r="Q476" s="32">
        <v>474</v>
      </c>
      <c r="R476" s="32">
        <v>120</v>
      </c>
      <c r="S476" s="32">
        <v>120</v>
      </c>
      <c r="T476" s="32">
        <v>120</v>
      </c>
      <c r="U476" s="32">
        <v>120</v>
      </c>
      <c r="V476" s="32"/>
      <c r="W476" s="32"/>
      <c r="X476">
        <f t="shared" si="15"/>
        <v>4</v>
      </c>
      <c r="BK476" s="32">
        <v>474</v>
      </c>
      <c r="BL476">
        <v>20</v>
      </c>
      <c r="BM476">
        <v>4</v>
      </c>
    </row>
    <row r="477" spans="1:65" x14ac:dyDescent="0.45">
      <c r="A477" s="33"/>
      <c r="B477" s="32">
        <v>7</v>
      </c>
      <c r="C477" s="32">
        <v>475</v>
      </c>
      <c r="D477" s="32">
        <v>60</v>
      </c>
      <c r="E477" s="32">
        <v>60</v>
      </c>
      <c r="F477" s="32">
        <v>60</v>
      </c>
      <c r="G477" s="32">
        <v>60</v>
      </c>
      <c r="H477" s="32">
        <v>60</v>
      </c>
      <c r="I477" s="32">
        <v>60</v>
      </c>
      <c r="J477" s="32">
        <v>60</v>
      </c>
      <c r="K477" s="32">
        <v>60</v>
      </c>
      <c r="L477" s="32"/>
      <c r="M477" s="39"/>
      <c r="N477" s="43">
        <f t="shared" si="14"/>
        <v>8</v>
      </c>
      <c r="O477" s="33"/>
      <c r="P477" s="32">
        <v>7</v>
      </c>
      <c r="Q477" s="32">
        <v>475</v>
      </c>
      <c r="R477" s="32">
        <v>120</v>
      </c>
      <c r="S477" s="32">
        <v>120</v>
      </c>
      <c r="T477" s="32">
        <v>120</v>
      </c>
      <c r="U477" s="32">
        <v>120</v>
      </c>
      <c r="V477" s="32"/>
      <c r="W477" s="32"/>
      <c r="X477">
        <f t="shared" si="15"/>
        <v>4</v>
      </c>
      <c r="BK477" s="32">
        <v>475</v>
      </c>
      <c r="BL477">
        <v>20</v>
      </c>
      <c r="BM477">
        <v>4</v>
      </c>
    </row>
    <row r="478" spans="1:65" x14ac:dyDescent="0.45">
      <c r="A478" s="33"/>
      <c r="B478" s="32">
        <v>8</v>
      </c>
      <c r="C478" s="32">
        <v>476</v>
      </c>
      <c r="D478" s="32">
        <v>60</v>
      </c>
      <c r="E478" s="32">
        <v>60</v>
      </c>
      <c r="F478" s="32">
        <v>60</v>
      </c>
      <c r="G478" s="32">
        <v>60</v>
      </c>
      <c r="H478" s="32">
        <v>60</v>
      </c>
      <c r="I478" s="32">
        <v>60</v>
      </c>
      <c r="J478" s="32">
        <v>60</v>
      </c>
      <c r="K478" s="32">
        <v>60</v>
      </c>
      <c r="L478" s="32"/>
      <c r="M478" s="39"/>
      <c r="N478" s="43">
        <f t="shared" si="14"/>
        <v>8</v>
      </c>
      <c r="O478" s="33"/>
      <c r="P478" s="32">
        <v>8</v>
      </c>
      <c r="Q478" s="32">
        <v>476</v>
      </c>
      <c r="R478" s="32">
        <v>120</v>
      </c>
      <c r="S478" s="32">
        <v>120</v>
      </c>
      <c r="T478" s="32">
        <v>120</v>
      </c>
      <c r="U478" s="32">
        <v>120</v>
      </c>
      <c r="V478" s="32"/>
      <c r="W478" s="32"/>
      <c r="X478">
        <f t="shared" si="15"/>
        <v>4</v>
      </c>
      <c r="BK478" s="32">
        <v>476</v>
      </c>
      <c r="BL478">
        <v>20</v>
      </c>
      <c r="BM478">
        <v>4</v>
      </c>
    </row>
    <row r="479" spans="1:65" x14ac:dyDescent="0.45">
      <c r="A479" s="33"/>
      <c r="B479" s="32">
        <v>9</v>
      </c>
      <c r="C479" s="32">
        <v>477</v>
      </c>
      <c r="D479" s="32">
        <v>60</v>
      </c>
      <c r="E479" s="32">
        <v>60</v>
      </c>
      <c r="F479" s="32">
        <v>60</v>
      </c>
      <c r="G479" s="32">
        <v>60</v>
      </c>
      <c r="H479" s="32">
        <v>60</v>
      </c>
      <c r="I479" s="32">
        <v>60</v>
      </c>
      <c r="J479" s="32">
        <v>60</v>
      </c>
      <c r="K479" s="32">
        <v>60</v>
      </c>
      <c r="L479" s="32"/>
      <c r="M479" s="39"/>
      <c r="N479" s="43">
        <f t="shared" si="14"/>
        <v>8</v>
      </c>
      <c r="O479" s="33"/>
      <c r="P479" s="32">
        <v>9</v>
      </c>
      <c r="Q479" s="32">
        <v>477</v>
      </c>
      <c r="R479" s="32">
        <v>120</v>
      </c>
      <c r="S479" s="32">
        <v>120</v>
      </c>
      <c r="T479" s="32">
        <v>120</v>
      </c>
      <c r="U479" s="32">
        <v>120</v>
      </c>
      <c r="V479" s="32"/>
      <c r="W479" s="32"/>
      <c r="X479">
        <f t="shared" si="15"/>
        <v>4</v>
      </c>
      <c r="BK479" s="32">
        <v>477</v>
      </c>
      <c r="BL479">
        <v>20</v>
      </c>
      <c r="BM479">
        <v>4</v>
      </c>
    </row>
    <row r="480" spans="1:65" x14ac:dyDescent="0.45">
      <c r="A480" s="33"/>
      <c r="B480" s="32">
        <v>10</v>
      </c>
      <c r="C480" s="32">
        <v>478</v>
      </c>
      <c r="D480" s="32">
        <v>60</v>
      </c>
      <c r="E480" s="32">
        <v>60</v>
      </c>
      <c r="F480" s="32">
        <v>60</v>
      </c>
      <c r="G480" s="32">
        <v>60</v>
      </c>
      <c r="H480" s="32">
        <v>60</v>
      </c>
      <c r="I480" s="32">
        <v>60</v>
      </c>
      <c r="J480" s="32">
        <v>60</v>
      </c>
      <c r="K480" s="32">
        <v>60</v>
      </c>
      <c r="L480" s="32"/>
      <c r="M480" s="39"/>
      <c r="N480" s="43">
        <f t="shared" si="14"/>
        <v>8</v>
      </c>
      <c r="O480" s="33"/>
      <c r="P480" s="32">
        <v>10</v>
      </c>
      <c r="Q480" s="32">
        <v>478</v>
      </c>
      <c r="R480" s="32">
        <v>120</v>
      </c>
      <c r="S480" s="32">
        <v>120</v>
      </c>
      <c r="T480" s="32">
        <v>120</v>
      </c>
      <c r="U480" s="32">
        <v>120</v>
      </c>
      <c r="V480" s="32"/>
      <c r="W480" s="32"/>
      <c r="X480">
        <f t="shared" si="15"/>
        <v>4</v>
      </c>
      <c r="BK480" s="32">
        <v>478</v>
      </c>
      <c r="BL480">
        <v>20</v>
      </c>
      <c r="BM480">
        <v>4</v>
      </c>
    </row>
    <row r="481" spans="1:65" x14ac:dyDescent="0.45">
      <c r="A481" s="33"/>
      <c r="B481" s="32">
        <v>11</v>
      </c>
      <c r="C481" s="32">
        <v>479</v>
      </c>
      <c r="D481" s="32">
        <v>60</v>
      </c>
      <c r="E481" s="32">
        <v>60</v>
      </c>
      <c r="F481" s="32">
        <v>60</v>
      </c>
      <c r="G481" s="32">
        <v>60</v>
      </c>
      <c r="H481" s="32">
        <v>60</v>
      </c>
      <c r="I481" s="32">
        <v>60</v>
      </c>
      <c r="J481" s="32">
        <v>60</v>
      </c>
      <c r="K481" s="32">
        <v>60</v>
      </c>
      <c r="L481" s="32"/>
      <c r="M481" s="39"/>
      <c r="N481" s="43">
        <f t="shared" si="14"/>
        <v>8</v>
      </c>
      <c r="O481" s="33"/>
      <c r="P481" s="32">
        <v>11</v>
      </c>
      <c r="Q481" s="32">
        <v>479</v>
      </c>
      <c r="R481" s="32">
        <v>120</v>
      </c>
      <c r="S481" s="32">
        <v>120</v>
      </c>
      <c r="T481" s="32">
        <v>120</v>
      </c>
      <c r="U481" s="32">
        <v>120</v>
      </c>
      <c r="V481" s="32"/>
      <c r="W481" s="32"/>
      <c r="X481">
        <f t="shared" si="15"/>
        <v>4</v>
      </c>
      <c r="BK481" s="32">
        <v>479</v>
      </c>
      <c r="BL481">
        <v>20</v>
      </c>
      <c r="BM481">
        <v>4</v>
      </c>
    </row>
    <row r="482" spans="1:65" x14ac:dyDescent="0.45">
      <c r="A482" s="33">
        <v>40</v>
      </c>
      <c r="B482" s="32"/>
      <c r="C482" s="32">
        <v>480</v>
      </c>
      <c r="D482" s="32">
        <v>60</v>
      </c>
      <c r="E482" s="32">
        <v>60</v>
      </c>
      <c r="F482" s="32">
        <v>60</v>
      </c>
      <c r="G482" s="32">
        <v>60</v>
      </c>
      <c r="H482" s="32">
        <v>60</v>
      </c>
      <c r="I482" s="32">
        <v>60</v>
      </c>
      <c r="J482" s="32">
        <v>60</v>
      </c>
      <c r="K482" s="32">
        <v>60</v>
      </c>
      <c r="L482" s="32"/>
      <c r="M482" s="39"/>
      <c r="N482" s="43">
        <f t="shared" si="14"/>
        <v>8</v>
      </c>
      <c r="O482" s="33">
        <v>40</v>
      </c>
      <c r="P482" s="32"/>
      <c r="Q482" s="32">
        <v>480</v>
      </c>
      <c r="R482" s="32">
        <v>120</v>
      </c>
      <c r="S482" s="32">
        <v>120</v>
      </c>
      <c r="T482" s="32">
        <v>120</v>
      </c>
      <c r="U482" s="32">
        <v>120</v>
      </c>
      <c r="V482" s="32"/>
      <c r="W482" s="32"/>
      <c r="X482">
        <f t="shared" si="15"/>
        <v>4</v>
      </c>
      <c r="BK482" s="32">
        <v>480</v>
      </c>
      <c r="BL482">
        <v>20</v>
      </c>
      <c r="BM482">
        <v>4</v>
      </c>
    </row>
    <row r="483" spans="1:65" x14ac:dyDescent="0.45">
      <c r="A483" s="33"/>
      <c r="B483" s="32">
        <v>1</v>
      </c>
      <c r="C483" s="32">
        <v>481</v>
      </c>
      <c r="D483" s="32">
        <v>60</v>
      </c>
      <c r="E483" s="32">
        <v>60</v>
      </c>
      <c r="F483" s="32">
        <v>60</v>
      </c>
      <c r="G483" s="32">
        <v>60</v>
      </c>
      <c r="H483" s="32">
        <v>60</v>
      </c>
      <c r="I483" s="32">
        <v>48</v>
      </c>
      <c r="J483" s="32">
        <v>48</v>
      </c>
      <c r="K483" s="32">
        <v>48</v>
      </c>
      <c r="L483" s="32">
        <v>48</v>
      </c>
      <c r="M483" s="39"/>
      <c r="N483" s="43">
        <f t="shared" si="14"/>
        <v>9</v>
      </c>
      <c r="O483" s="33"/>
      <c r="P483" s="32">
        <v>1</v>
      </c>
      <c r="Q483" s="32">
        <v>481</v>
      </c>
      <c r="R483" s="32">
        <v>120</v>
      </c>
      <c r="S483" s="32">
        <v>120</v>
      </c>
      <c r="T483" s="32">
        <v>96</v>
      </c>
      <c r="U483" s="32">
        <v>96</v>
      </c>
      <c r="V483" s="32">
        <v>60</v>
      </c>
      <c r="W483" s="32"/>
      <c r="X483">
        <f t="shared" si="15"/>
        <v>5</v>
      </c>
      <c r="BK483" s="32">
        <v>481</v>
      </c>
      <c r="BL483">
        <v>25</v>
      </c>
      <c r="BM483">
        <v>4.5</v>
      </c>
    </row>
    <row r="484" spans="1:65" x14ac:dyDescent="0.45">
      <c r="A484" s="33"/>
      <c r="B484" s="32">
        <v>2</v>
      </c>
      <c r="C484" s="32">
        <v>482</v>
      </c>
      <c r="D484" s="32">
        <v>60</v>
      </c>
      <c r="E484" s="32">
        <v>60</v>
      </c>
      <c r="F484" s="32">
        <v>60</v>
      </c>
      <c r="G484" s="32">
        <v>60</v>
      </c>
      <c r="H484" s="32">
        <v>60</v>
      </c>
      <c r="I484" s="32">
        <v>48</v>
      </c>
      <c r="J484" s="32">
        <v>48</v>
      </c>
      <c r="K484" s="32">
        <v>48</v>
      </c>
      <c r="L484" s="32">
        <v>48</v>
      </c>
      <c r="M484" s="39"/>
      <c r="N484" s="43">
        <f t="shared" si="14"/>
        <v>9</v>
      </c>
      <c r="O484" s="33"/>
      <c r="P484" s="32">
        <v>2</v>
      </c>
      <c r="Q484" s="32">
        <v>482</v>
      </c>
      <c r="R484" s="32">
        <v>120</v>
      </c>
      <c r="S484" s="32">
        <v>120</v>
      </c>
      <c r="T484" s="32">
        <v>96</v>
      </c>
      <c r="U484" s="32">
        <v>96</v>
      </c>
      <c r="V484" s="32">
        <v>60</v>
      </c>
      <c r="W484" s="32"/>
      <c r="X484">
        <f t="shared" si="15"/>
        <v>5</v>
      </c>
      <c r="BK484" s="32">
        <v>482</v>
      </c>
      <c r="BL484">
        <v>25</v>
      </c>
      <c r="BM484">
        <v>4.5</v>
      </c>
    </row>
    <row r="485" spans="1:65" x14ac:dyDescent="0.45">
      <c r="A485" s="33"/>
      <c r="B485" s="32">
        <v>3</v>
      </c>
      <c r="C485" s="32">
        <v>483</v>
      </c>
      <c r="D485" s="32">
        <v>60</v>
      </c>
      <c r="E485" s="32">
        <v>60</v>
      </c>
      <c r="F485" s="32">
        <v>60</v>
      </c>
      <c r="G485" s="32">
        <v>60</v>
      </c>
      <c r="H485" s="32">
        <v>60</v>
      </c>
      <c r="I485" s="32">
        <v>48</v>
      </c>
      <c r="J485" s="32">
        <v>48</v>
      </c>
      <c r="K485" s="32">
        <v>48</v>
      </c>
      <c r="L485" s="32">
        <v>48</v>
      </c>
      <c r="M485" s="39"/>
      <c r="N485" s="43">
        <f t="shared" si="14"/>
        <v>9</v>
      </c>
      <c r="O485" s="33"/>
      <c r="P485" s="32">
        <v>3</v>
      </c>
      <c r="Q485" s="32">
        <v>483</v>
      </c>
      <c r="R485" s="32">
        <v>120</v>
      </c>
      <c r="S485" s="32">
        <v>120</v>
      </c>
      <c r="T485" s="32">
        <v>96</v>
      </c>
      <c r="U485" s="32">
        <v>96</v>
      </c>
      <c r="V485" s="32">
        <v>60</v>
      </c>
      <c r="W485" s="32"/>
      <c r="X485">
        <f t="shared" si="15"/>
        <v>5</v>
      </c>
      <c r="BK485" s="32">
        <v>483</v>
      </c>
      <c r="BL485">
        <v>25</v>
      </c>
      <c r="BM485">
        <v>4.5</v>
      </c>
    </row>
    <row r="486" spans="1:65" x14ac:dyDescent="0.45">
      <c r="A486" s="33"/>
      <c r="B486" s="32">
        <v>4</v>
      </c>
      <c r="C486" s="32">
        <v>484</v>
      </c>
      <c r="D486" s="32">
        <v>60</v>
      </c>
      <c r="E486" s="32">
        <v>60</v>
      </c>
      <c r="F486" s="32">
        <v>60</v>
      </c>
      <c r="G486" s="32">
        <v>60</v>
      </c>
      <c r="H486" s="32">
        <v>60</v>
      </c>
      <c r="I486" s="32">
        <v>48</v>
      </c>
      <c r="J486" s="32">
        <v>48</v>
      </c>
      <c r="K486" s="32">
        <v>48</v>
      </c>
      <c r="L486" s="32">
        <v>48</v>
      </c>
      <c r="M486" s="39"/>
      <c r="N486" s="43">
        <f t="shared" si="14"/>
        <v>9</v>
      </c>
      <c r="O486" s="33"/>
      <c r="P486" s="32">
        <v>4</v>
      </c>
      <c r="Q486" s="32">
        <v>484</v>
      </c>
      <c r="R486" s="32">
        <v>120</v>
      </c>
      <c r="S486" s="32">
        <v>120</v>
      </c>
      <c r="T486" s="32">
        <v>96</v>
      </c>
      <c r="U486" s="32">
        <v>96</v>
      </c>
      <c r="V486" s="32">
        <v>60</v>
      </c>
      <c r="W486" s="32"/>
      <c r="X486">
        <f t="shared" si="15"/>
        <v>5</v>
      </c>
      <c r="BK486" s="32">
        <v>484</v>
      </c>
      <c r="BL486">
        <v>25</v>
      </c>
      <c r="BM486">
        <v>4.5</v>
      </c>
    </row>
    <row r="487" spans="1:65" x14ac:dyDescent="0.45">
      <c r="A487" s="33"/>
      <c r="B487" s="32">
        <v>5</v>
      </c>
      <c r="C487" s="32">
        <v>485</v>
      </c>
      <c r="D487" s="32">
        <v>60</v>
      </c>
      <c r="E487" s="32">
        <v>60</v>
      </c>
      <c r="F487" s="32">
        <v>60</v>
      </c>
      <c r="G487" s="32">
        <v>60</v>
      </c>
      <c r="H487" s="32">
        <v>60</v>
      </c>
      <c r="I487" s="32">
        <v>48</v>
      </c>
      <c r="J487" s="32">
        <v>48</v>
      </c>
      <c r="K487" s="32">
        <v>48</v>
      </c>
      <c r="L487" s="32">
        <v>48</v>
      </c>
      <c r="M487" s="39"/>
      <c r="N487" s="43">
        <f t="shared" si="14"/>
        <v>9</v>
      </c>
      <c r="O487" s="33"/>
      <c r="P487" s="32">
        <v>5</v>
      </c>
      <c r="Q487" s="32">
        <v>485</v>
      </c>
      <c r="R487" s="32">
        <v>120</v>
      </c>
      <c r="S487" s="32">
        <v>120</v>
      </c>
      <c r="T487" s="32">
        <v>96</v>
      </c>
      <c r="U487" s="32">
        <v>96</v>
      </c>
      <c r="V487" s="32">
        <v>60</v>
      </c>
      <c r="W487" s="32"/>
      <c r="X487">
        <f t="shared" si="15"/>
        <v>5</v>
      </c>
      <c r="BK487" s="32">
        <v>485</v>
      </c>
      <c r="BL487">
        <v>25</v>
      </c>
      <c r="BM487">
        <v>4.5</v>
      </c>
    </row>
    <row r="488" spans="1:65" x14ac:dyDescent="0.45">
      <c r="A488" s="33"/>
      <c r="B488" s="32">
        <v>6</v>
      </c>
      <c r="C488" s="32">
        <v>486</v>
      </c>
      <c r="D488" s="32">
        <v>60</v>
      </c>
      <c r="E488" s="32">
        <v>60</v>
      </c>
      <c r="F488" s="32">
        <v>60</v>
      </c>
      <c r="G488" s="32">
        <v>60</v>
      </c>
      <c r="H488" s="32">
        <v>60</v>
      </c>
      <c r="I488" s="32">
        <v>48</v>
      </c>
      <c r="J488" s="32">
        <v>48</v>
      </c>
      <c r="K488" s="32">
        <v>48</v>
      </c>
      <c r="L488" s="32">
        <v>48</v>
      </c>
      <c r="M488" s="39"/>
      <c r="N488" s="43">
        <f t="shared" si="14"/>
        <v>9</v>
      </c>
      <c r="O488" s="33"/>
      <c r="P488" s="32">
        <v>6</v>
      </c>
      <c r="Q488" s="32">
        <v>486</v>
      </c>
      <c r="R488" s="32">
        <v>120</v>
      </c>
      <c r="S488" s="32">
        <v>120</v>
      </c>
      <c r="T488" s="32">
        <v>96</v>
      </c>
      <c r="U488" s="32">
        <v>96</v>
      </c>
      <c r="V488" s="32">
        <v>60</v>
      </c>
      <c r="W488" s="32"/>
      <c r="X488">
        <f t="shared" si="15"/>
        <v>5</v>
      </c>
      <c r="BK488" s="32">
        <v>486</v>
      </c>
      <c r="BL488">
        <v>25</v>
      </c>
      <c r="BM488">
        <v>4.5</v>
      </c>
    </row>
    <row r="489" spans="1:65" x14ac:dyDescent="0.45">
      <c r="A489" s="33"/>
      <c r="B489" s="32">
        <v>7</v>
      </c>
      <c r="C489" s="32">
        <v>487</v>
      </c>
      <c r="D489" s="32">
        <v>60</v>
      </c>
      <c r="E489" s="32">
        <v>60</v>
      </c>
      <c r="F489" s="32">
        <v>60</v>
      </c>
      <c r="G489" s="32">
        <v>60</v>
      </c>
      <c r="H489" s="32">
        <v>60</v>
      </c>
      <c r="I489" s="32">
        <v>48</v>
      </c>
      <c r="J489" s="32">
        <v>48</v>
      </c>
      <c r="K489" s="32">
        <v>48</v>
      </c>
      <c r="L489" s="32">
        <v>48</v>
      </c>
      <c r="M489" s="39"/>
      <c r="N489" s="43">
        <f t="shared" si="14"/>
        <v>9</v>
      </c>
      <c r="O489" s="33"/>
      <c r="P489" s="32">
        <v>7</v>
      </c>
      <c r="Q489" s="32">
        <v>487</v>
      </c>
      <c r="R489" s="32">
        <v>120</v>
      </c>
      <c r="S489" s="32">
        <v>120</v>
      </c>
      <c r="T489" s="32">
        <v>96</v>
      </c>
      <c r="U489" s="32">
        <v>96</v>
      </c>
      <c r="V489" s="32">
        <v>60</v>
      </c>
      <c r="W489" s="32"/>
      <c r="X489">
        <f t="shared" si="15"/>
        <v>5</v>
      </c>
      <c r="BK489" s="32">
        <v>487</v>
      </c>
      <c r="BL489">
        <v>25</v>
      </c>
      <c r="BM489">
        <v>4.5</v>
      </c>
    </row>
    <row r="490" spans="1:65" x14ac:dyDescent="0.45">
      <c r="A490" s="33"/>
      <c r="B490" s="32">
        <v>8</v>
      </c>
      <c r="C490" s="32">
        <v>488</v>
      </c>
      <c r="D490" s="32">
        <v>60</v>
      </c>
      <c r="E490" s="32">
        <v>60</v>
      </c>
      <c r="F490" s="32">
        <v>60</v>
      </c>
      <c r="G490" s="32">
        <v>60</v>
      </c>
      <c r="H490" s="32">
        <v>60</v>
      </c>
      <c r="I490" s="32">
        <v>48</v>
      </c>
      <c r="J490" s="32">
        <v>48</v>
      </c>
      <c r="K490" s="32">
        <v>48</v>
      </c>
      <c r="L490" s="32">
        <v>48</v>
      </c>
      <c r="M490" s="39"/>
      <c r="N490" s="43">
        <f t="shared" si="14"/>
        <v>9</v>
      </c>
      <c r="O490" s="33"/>
      <c r="P490" s="32">
        <v>8</v>
      </c>
      <c r="Q490" s="32">
        <v>488</v>
      </c>
      <c r="R490" s="32">
        <v>120</v>
      </c>
      <c r="S490" s="32">
        <v>120</v>
      </c>
      <c r="T490" s="32">
        <v>96</v>
      </c>
      <c r="U490" s="32">
        <v>96</v>
      </c>
      <c r="V490" s="32">
        <v>60</v>
      </c>
      <c r="W490" s="32"/>
      <c r="X490">
        <f t="shared" si="15"/>
        <v>5</v>
      </c>
      <c r="BK490" s="32">
        <v>488</v>
      </c>
      <c r="BL490">
        <v>25</v>
      </c>
      <c r="BM490">
        <v>4.5</v>
      </c>
    </row>
    <row r="491" spans="1:65" x14ac:dyDescent="0.45">
      <c r="A491" s="33"/>
      <c r="B491" s="32">
        <v>9</v>
      </c>
      <c r="C491" s="32">
        <v>489</v>
      </c>
      <c r="D491" s="32">
        <v>60</v>
      </c>
      <c r="E491" s="32">
        <v>60</v>
      </c>
      <c r="F491" s="32">
        <v>60</v>
      </c>
      <c r="G491" s="32">
        <v>60</v>
      </c>
      <c r="H491" s="32">
        <v>60</v>
      </c>
      <c r="I491" s="32">
        <v>48</v>
      </c>
      <c r="J491" s="32">
        <v>48</v>
      </c>
      <c r="K491" s="32">
        <v>48</v>
      </c>
      <c r="L491" s="32">
        <v>48</v>
      </c>
      <c r="M491" s="39"/>
      <c r="N491" s="43">
        <f t="shared" si="14"/>
        <v>9</v>
      </c>
      <c r="O491" s="33"/>
      <c r="P491" s="32">
        <v>9</v>
      </c>
      <c r="Q491" s="32">
        <v>489</v>
      </c>
      <c r="R491" s="32">
        <v>120</v>
      </c>
      <c r="S491" s="32">
        <v>120</v>
      </c>
      <c r="T491" s="32">
        <v>96</v>
      </c>
      <c r="U491" s="32">
        <v>96</v>
      </c>
      <c r="V491" s="32">
        <v>60</v>
      </c>
      <c r="W491" s="32"/>
      <c r="X491">
        <f t="shared" si="15"/>
        <v>5</v>
      </c>
      <c r="BK491" s="32">
        <v>489</v>
      </c>
      <c r="BL491">
        <v>25</v>
      </c>
      <c r="BM491">
        <v>4.5</v>
      </c>
    </row>
    <row r="492" spans="1:65" x14ac:dyDescent="0.45">
      <c r="A492" s="33"/>
      <c r="B492" s="32">
        <v>10</v>
      </c>
      <c r="C492" s="32">
        <v>490</v>
      </c>
      <c r="D492" s="32">
        <v>60</v>
      </c>
      <c r="E492" s="32">
        <v>60</v>
      </c>
      <c r="F492" s="32">
        <v>60</v>
      </c>
      <c r="G492" s="32">
        <v>60</v>
      </c>
      <c r="H492" s="32">
        <v>60</v>
      </c>
      <c r="I492" s="32">
        <v>48</v>
      </c>
      <c r="J492" s="32">
        <v>48</v>
      </c>
      <c r="K492" s="32">
        <v>48</v>
      </c>
      <c r="L492" s="32">
        <v>48</v>
      </c>
      <c r="M492" s="39"/>
      <c r="N492" s="43">
        <f t="shared" si="14"/>
        <v>9</v>
      </c>
      <c r="O492" s="33"/>
      <c r="P492" s="32">
        <v>10</v>
      </c>
      <c r="Q492" s="32">
        <v>490</v>
      </c>
      <c r="R492" s="32">
        <v>120</v>
      </c>
      <c r="S492" s="32">
        <v>120</v>
      </c>
      <c r="T492" s="32">
        <v>96</v>
      </c>
      <c r="U492" s="32">
        <v>96</v>
      </c>
      <c r="V492" s="32">
        <v>60</v>
      </c>
      <c r="W492" s="32"/>
      <c r="X492">
        <f t="shared" si="15"/>
        <v>5</v>
      </c>
      <c r="BK492" s="32">
        <v>490</v>
      </c>
      <c r="BL492">
        <v>25</v>
      </c>
      <c r="BM492">
        <v>4.5</v>
      </c>
    </row>
    <row r="493" spans="1:65" x14ac:dyDescent="0.45">
      <c r="A493" s="33"/>
      <c r="B493" s="32">
        <v>11</v>
      </c>
      <c r="C493" s="32">
        <v>491</v>
      </c>
      <c r="D493" s="32">
        <v>60</v>
      </c>
      <c r="E493" s="32">
        <v>60</v>
      </c>
      <c r="F493" s="32">
        <v>60</v>
      </c>
      <c r="G493" s="32">
        <v>60</v>
      </c>
      <c r="H493" s="32">
        <v>60</v>
      </c>
      <c r="I493" s="32">
        <v>48</v>
      </c>
      <c r="J493" s="32">
        <v>48</v>
      </c>
      <c r="K493" s="32">
        <v>48</v>
      </c>
      <c r="L493" s="32">
        <v>48</v>
      </c>
      <c r="M493" s="39"/>
      <c r="N493" s="43">
        <f t="shared" si="14"/>
        <v>9</v>
      </c>
      <c r="O493" s="33"/>
      <c r="P493" s="32">
        <v>11</v>
      </c>
      <c r="Q493" s="32">
        <v>491</v>
      </c>
      <c r="R493" s="32">
        <v>120</v>
      </c>
      <c r="S493" s="32">
        <v>120</v>
      </c>
      <c r="T493" s="32">
        <v>96</v>
      </c>
      <c r="U493" s="32">
        <v>96</v>
      </c>
      <c r="V493" s="32">
        <v>60</v>
      </c>
      <c r="W493" s="32"/>
      <c r="X493">
        <f t="shared" si="15"/>
        <v>5</v>
      </c>
      <c r="BK493" s="32">
        <v>491</v>
      </c>
      <c r="BL493">
        <v>25</v>
      </c>
      <c r="BM493">
        <v>4.5</v>
      </c>
    </row>
    <row r="494" spans="1:65" x14ac:dyDescent="0.45">
      <c r="A494" s="33">
        <v>41</v>
      </c>
      <c r="B494" s="32"/>
      <c r="C494" s="32">
        <v>492</v>
      </c>
      <c r="D494" s="32">
        <v>60</v>
      </c>
      <c r="E494" s="32">
        <v>60</v>
      </c>
      <c r="F494" s="32">
        <v>60</v>
      </c>
      <c r="G494" s="32">
        <v>60</v>
      </c>
      <c r="H494" s="32">
        <v>60</v>
      </c>
      <c r="I494" s="32">
        <v>48</v>
      </c>
      <c r="J494" s="32">
        <v>48</v>
      </c>
      <c r="K494" s="32">
        <v>48</v>
      </c>
      <c r="L494" s="32">
        <v>48</v>
      </c>
      <c r="M494" s="39"/>
      <c r="N494" s="43">
        <f t="shared" si="14"/>
        <v>9</v>
      </c>
      <c r="O494" s="33">
        <v>41</v>
      </c>
      <c r="P494" s="32"/>
      <c r="Q494" s="32">
        <v>492</v>
      </c>
      <c r="R494" s="32">
        <v>120</v>
      </c>
      <c r="S494" s="32">
        <v>120</v>
      </c>
      <c r="T494" s="32">
        <v>96</v>
      </c>
      <c r="U494" s="32">
        <v>96</v>
      </c>
      <c r="V494" s="32">
        <v>60</v>
      </c>
      <c r="W494" s="32"/>
      <c r="X494">
        <f t="shared" si="15"/>
        <v>5</v>
      </c>
      <c r="BK494" s="32">
        <v>492</v>
      </c>
      <c r="BL494">
        <v>25</v>
      </c>
      <c r="BM494">
        <v>4.5</v>
      </c>
    </row>
    <row r="495" spans="1:65" x14ac:dyDescent="0.45">
      <c r="A495" s="33"/>
      <c r="B495" s="32">
        <v>1</v>
      </c>
      <c r="C495" s="32">
        <v>493</v>
      </c>
      <c r="D495" s="32">
        <v>60</v>
      </c>
      <c r="E495" s="32">
        <v>60</v>
      </c>
      <c r="F495" s="32">
        <v>60</v>
      </c>
      <c r="G495" s="32">
        <v>60</v>
      </c>
      <c r="H495" s="32">
        <v>60</v>
      </c>
      <c r="I495" s="32">
        <v>60</v>
      </c>
      <c r="J495" s="32">
        <v>48</v>
      </c>
      <c r="K495" s="32">
        <v>48</v>
      </c>
      <c r="L495" s="32">
        <v>48</v>
      </c>
      <c r="M495" s="39"/>
      <c r="N495" s="43">
        <f t="shared" si="14"/>
        <v>9</v>
      </c>
      <c r="O495" s="33"/>
      <c r="P495" s="32">
        <v>1</v>
      </c>
      <c r="Q495" s="32">
        <v>493</v>
      </c>
      <c r="R495" s="32">
        <v>120</v>
      </c>
      <c r="S495" s="32">
        <v>120</v>
      </c>
      <c r="T495" s="32">
        <v>120</v>
      </c>
      <c r="U495" s="32">
        <v>96</v>
      </c>
      <c r="V495" s="32">
        <v>48</v>
      </c>
      <c r="W495" s="32"/>
      <c r="X495">
        <f t="shared" si="15"/>
        <v>5</v>
      </c>
      <c r="BK495" s="32">
        <v>493</v>
      </c>
      <c r="BL495">
        <v>25</v>
      </c>
      <c r="BM495">
        <v>4.5</v>
      </c>
    </row>
    <row r="496" spans="1:65" x14ac:dyDescent="0.45">
      <c r="A496" s="33"/>
      <c r="B496" s="32">
        <v>2</v>
      </c>
      <c r="C496" s="32">
        <v>494</v>
      </c>
      <c r="D496" s="32">
        <v>60</v>
      </c>
      <c r="E496" s="32">
        <v>60</v>
      </c>
      <c r="F496" s="32">
        <v>60</v>
      </c>
      <c r="G496" s="32">
        <v>60</v>
      </c>
      <c r="H496" s="32">
        <v>60</v>
      </c>
      <c r="I496" s="32">
        <v>60</v>
      </c>
      <c r="J496" s="32">
        <v>48</v>
      </c>
      <c r="K496" s="32">
        <v>48</v>
      </c>
      <c r="L496" s="32">
        <v>48</v>
      </c>
      <c r="M496" s="39"/>
      <c r="N496" s="43">
        <f t="shared" si="14"/>
        <v>9</v>
      </c>
      <c r="O496" s="33"/>
      <c r="P496" s="32">
        <v>2</v>
      </c>
      <c r="Q496" s="32">
        <v>494</v>
      </c>
      <c r="R496" s="32">
        <v>120</v>
      </c>
      <c r="S496" s="32">
        <v>120</v>
      </c>
      <c r="T496" s="32">
        <v>120</v>
      </c>
      <c r="U496" s="32">
        <v>96</v>
      </c>
      <c r="V496" s="32">
        <v>48</v>
      </c>
      <c r="W496" s="32"/>
      <c r="X496">
        <f t="shared" si="15"/>
        <v>5</v>
      </c>
      <c r="BK496" s="32">
        <v>494</v>
      </c>
      <c r="BL496">
        <v>25</v>
      </c>
      <c r="BM496">
        <v>4.5</v>
      </c>
    </row>
    <row r="497" spans="1:65" x14ac:dyDescent="0.45">
      <c r="A497" s="33"/>
      <c r="B497" s="32">
        <v>3</v>
      </c>
      <c r="C497" s="32">
        <v>495</v>
      </c>
      <c r="D497" s="32">
        <v>60</v>
      </c>
      <c r="E497" s="32">
        <v>60</v>
      </c>
      <c r="F497" s="32">
        <v>60</v>
      </c>
      <c r="G497" s="32">
        <v>60</v>
      </c>
      <c r="H497" s="32">
        <v>60</v>
      </c>
      <c r="I497" s="32">
        <v>60</v>
      </c>
      <c r="J497" s="32">
        <v>48</v>
      </c>
      <c r="K497" s="32">
        <v>48</v>
      </c>
      <c r="L497" s="32">
        <v>48</v>
      </c>
      <c r="M497" s="39"/>
      <c r="N497" s="43">
        <f t="shared" si="14"/>
        <v>9</v>
      </c>
      <c r="O497" s="33"/>
      <c r="P497" s="32">
        <v>3</v>
      </c>
      <c r="Q497" s="32">
        <v>495</v>
      </c>
      <c r="R497" s="32">
        <v>120</v>
      </c>
      <c r="S497" s="32">
        <v>120</v>
      </c>
      <c r="T497" s="32">
        <v>120</v>
      </c>
      <c r="U497" s="32">
        <v>96</v>
      </c>
      <c r="V497" s="32">
        <v>48</v>
      </c>
      <c r="W497" s="32"/>
      <c r="X497">
        <f t="shared" si="15"/>
        <v>5</v>
      </c>
      <c r="BK497" s="32">
        <v>495</v>
      </c>
      <c r="BL497">
        <v>25</v>
      </c>
      <c r="BM497">
        <v>4.5</v>
      </c>
    </row>
    <row r="498" spans="1:65" x14ac:dyDescent="0.45">
      <c r="A498" s="33"/>
      <c r="B498" s="32">
        <v>4</v>
      </c>
      <c r="C498" s="32">
        <v>496</v>
      </c>
      <c r="D498" s="32">
        <v>60</v>
      </c>
      <c r="E498" s="32">
        <v>60</v>
      </c>
      <c r="F498" s="32">
        <v>60</v>
      </c>
      <c r="G498" s="32">
        <v>60</v>
      </c>
      <c r="H498" s="32">
        <v>60</v>
      </c>
      <c r="I498" s="32">
        <v>60</v>
      </c>
      <c r="J498" s="32">
        <v>48</v>
      </c>
      <c r="K498" s="32">
        <v>48</v>
      </c>
      <c r="L498" s="32">
        <v>48</v>
      </c>
      <c r="M498" s="39"/>
      <c r="N498" s="43">
        <f t="shared" si="14"/>
        <v>9</v>
      </c>
      <c r="O498" s="33"/>
      <c r="P498" s="32">
        <v>4</v>
      </c>
      <c r="Q498" s="32">
        <v>496</v>
      </c>
      <c r="R498" s="32">
        <v>120</v>
      </c>
      <c r="S498" s="32">
        <v>120</v>
      </c>
      <c r="T498" s="32">
        <v>120</v>
      </c>
      <c r="U498" s="32">
        <v>96</v>
      </c>
      <c r="V498" s="32">
        <v>48</v>
      </c>
      <c r="W498" s="32"/>
      <c r="X498">
        <f t="shared" si="15"/>
        <v>5</v>
      </c>
      <c r="BK498" s="32">
        <v>496</v>
      </c>
      <c r="BL498">
        <v>25</v>
      </c>
      <c r="BM498">
        <v>4.5</v>
      </c>
    </row>
    <row r="499" spans="1:65" x14ac:dyDescent="0.45">
      <c r="A499" s="33"/>
      <c r="B499" s="32">
        <v>5</v>
      </c>
      <c r="C499" s="32">
        <v>497</v>
      </c>
      <c r="D499" s="32">
        <v>60</v>
      </c>
      <c r="E499" s="32">
        <v>60</v>
      </c>
      <c r="F499" s="32">
        <v>60</v>
      </c>
      <c r="G499" s="32">
        <v>60</v>
      </c>
      <c r="H499" s="32">
        <v>60</v>
      </c>
      <c r="I499" s="32">
        <v>60</v>
      </c>
      <c r="J499" s="32">
        <v>48</v>
      </c>
      <c r="K499" s="32">
        <v>48</v>
      </c>
      <c r="L499" s="32">
        <v>48</v>
      </c>
      <c r="M499" s="39"/>
      <c r="N499" s="43">
        <f t="shared" si="14"/>
        <v>9</v>
      </c>
      <c r="O499" s="33"/>
      <c r="P499" s="32">
        <v>5</v>
      </c>
      <c r="Q499" s="32">
        <v>497</v>
      </c>
      <c r="R499" s="32">
        <v>120</v>
      </c>
      <c r="S499" s="32">
        <v>120</v>
      </c>
      <c r="T499" s="32">
        <v>120</v>
      </c>
      <c r="U499" s="32">
        <v>96</v>
      </c>
      <c r="V499" s="32">
        <v>48</v>
      </c>
      <c r="W499" s="32"/>
      <c r="X499">
        <f t="shared" si="15"/>
        <v>5</v>
      </c>
      <c r="BK499" s="32">
        <v>497</v>
      </c>
      <c r="BL499">
        <v>25</v>
      </c>
      <c r="BM499">
        <v>4.5</v>
      </c>
    </row>
    <row r="500" spans="1:65" x14ac:dyDescent="0.45">
      <c r="A500" s="33"/>
      <c r="B500" s="32">
        <v>6</v>
      </c>
      <c r="C500" s="32">
        <v>498</v>
      </c>
      <c r="D500" s="32">
        <v>60</v>
      </c>
      <c r="E500" s="32">
        <v>60</v>
      </c>
      <c r="F500" s="32">
        <v>60</v>
      </c>
      <c r="G500" s="32">
        <v>60</v>
      </c>
      <c r="H500" s="32">
        <v>60</v>
      </c>
      <c r="I500" s="32">
        <v>60</v>
      </c>
      <c r="J500" s="32">
        <v>48</v>
      </c>
      <c r="K500" s="32">
        <v>48</v>
      </c>
      <c r="L500" s="32">
        <v>48</v>
      </c>
      <c r="M500" s="39"/>
      <c r="N500" s="43">
        <f t="shared" si="14"/>
        <v>9</v>
      </c>
      <c r="O500" s="33"/>
      <c r="P500" s="32">
        <v>6</v>
      </c>
      <c r="Q500" s="32">
        <v>498</v>
      </c>
      <c r="R500" s="32">
        <v>120</v>
      </c>
      <c r="S500" s="32">
        <v>120</v>
      </c>
      <c r="T500" s="32">
        <v>120</v>
      </c>
      <c r="U500" s="32">
        <v>96</v>
      </c>
      <c r="V500" s="32">
        <v>48</v>
      </c>
      <c r="W500" s="32"/>
      <c r="X500">
        <f t="shared" si="15"/>
        <v>5</v>
      </c>
      <c r="BK500" s="32">
        <v>498</v>
      </c>
      <c r="BL500">
        <v>25</v>
      </c>
      <c r="BM500">
        <v>4.5</v>
      </c>
    </row>
    <row r="501" spans="1:65" x14ac:dyDescent="0.45">
      <c r="A501" s="33"/>
      <c r="B501" s="32">
        <v>7</v>
      </c>
      <c r="C501" s="32">
        <v>499</v>
      </c>
      <c r="D501" s="32">
        <v>60</v>
      </c>
      <c r="E501" s="32">
        <v>60</v>
      </c>
      <c r="F501" s="32">
        <v>60</v>
      </c>
      <c r="G501" s="32">
        <v>60</v>
      </c>
      <c r="H501" s="32">
        <v>60</v>
      </c>
      <c r="I501" s="32">
        <v>60</v>
      </c>
      <c r="J501" s="32">
        <v>48</v>
      </c>
      <c r="K501" s="32">
        <v>48</v>
      </c>
      <c r="L501" s="32">
        <v>48</v>
      </c>
      <c r="M501" s="39"/>
      <c r="N501" s="43">
        <f t="shared" si="14"/>
        <v>9</v>
      </c>
      <c r="O501" s="33"/>
      <c r="P501" s="32">
        <v>7</v>
      </c>
      <c r="Q501" s="32">
        <v>499</v>
      </c>
      <c r="R501" s="32">
        <v>120</v>
      </c>
      <c r="S501" s="32">
        <v>120</v>
      </c>
      <c r="T501" s="32">
        <v>120</v>
      </c>
      <c r="U501" s="32">
        <v>96</v>
      </c>
      <c r="V501" s="32">
        <v>48</v>
      </c>
      <c r="W501" s="32"/>
      <c r="X501">
        <f t="shared" si="15"/>
        <v>5</v>
      </c>
      <c r="BK501" s="32">
        <v>499</v>
      </c>
      <c r="BL501">
        <v>25</v>
      </c>
      <c r="BM501">
        <v>4.5</v>
      </c>
    </row>
    <row r="502" spans="1:65" x14ac:dyDescent="0.45">
      <c r="A502" s="33"/>
      <c r="B502" s="32">
        <v>8</v>
      </c>
      <c r="C502" s="32">
        <v>500</v>
      </c>
      <c r="D502" s="32">
        <v>60</v>
      </c>
      <c r="E502" s="32">
        <v>60</v>
      </c>
      <c r="F502" s="32">
        <v>60</v>
      </c>
      <c r="G502" s="32">
        <v>60</v>
      </c>
      <c r="H502" s="32">
        <v>60</v>
      </c>
      <c r="I502" s="32">
        <v>60</v>
      </c>
      <c r="J502" s="32">
        <v>48</v>
      </c>
      <c r="K502" s="32">
        <v>48</v>
      </c>
      <c r="L502" s="32">
        <v>48</v>
      </c>
      <c r="M502" s="39"/>
      <c r="N502" s="43">
        <f t="shared" si="14"/>
        <v>9</v>
      </c>
      <c r="O502" s="33"/>
      <c r="P502" s="32">
        <v>8</v>
      </c>
      <c r="Q502" s="32">
        <v>500</v>
      </c>
      <c r="R502" s="32">
        <v>120</v>
      </c>
      <c r="S502" s="32">
        <v>120</v>
      </c>
      <c r="T502" s="32">
        <v>120</v>
      </c>
      <c r="U502" s="32">
        <v>96</v>
      </c>
      <c r="V502" s="32">
        <v>48</v>
      </c>
      <c r="W502" s="32"/>
      <c r="X502">
        <f t="shared" si="15"/>
        <v>5</v>
      </c>
      <c r="BK502" s="32">
        <v>500</v>
      </c>
      <c r="BL502">
        <v>25</v>
      </c>
      <c r="BM502">
        <v>4.5</v>
      </c>
    </row>
    <row r="503" spans="1:65" x14ac:dyDescent="0.45">
      <c r="A503" s="33"/>
      <c r="B503" s="32">
        <v>9</v>
      </c>
      <c r="C503" s="32">
        <v>501</v>
      </c>
      <c r="D503" s="32">
        <v>60</v>
      </c>
      <c r="E503" s="32">
        <v>60</v>
      </c>
      <c r="F503" s="32">
        <v>60</v>
      </c>
      <c r="G503" s="32">
        <v>60</v>
      </c>
      <c r="H503" s="32">
        <v>60</v>
      </c>
      <c r="I503" s="32">
        <v>60</v>
      </c>
      <c r="J503" s="32">
        <v>48</v>
      </c>
      <c r="K503" s="32">
        <v>48</v>
      </c>
      <c r="L503" s="32">
        <v>48</v>
      </c>
      <c r="M503" s="39"/>
      <c r="N503" s="43">
        <f t="shared" si="14"/>
        <v>9</v>
      </c>
      <c r="O503" s="33"/>
      <c r="P503" s="32">
        <v>9</v>
      </c>
      <c r="Q503" s="32">
        <v>501</v>
      </c>
      <c r="R503" s="32">
        <v>120</v>
      </c>
      <c r="S503" s="32">
        <v>120</v>
      </c>
      <c r="T503" s="32">
        <v>120</v>
      </c>
      <c r="U503" s="32">
        <v>96</v>
      </c>
      <c r="V503" s="32">
        <v>48</v>
      </c>
      <c r="W503" s="32"/>
      <c r="X503">
        <f t="shared" si="15"/>
        <v>5</v>
      </c>
      <c r="BK503" s="32">
        <v>501</v>
      </c>
      <c r="BL503">
        <v>25</v>
      </c>
      <c r="BM503">
        <v>4.5</v>
      </c>
    </row>
    <row r="504" spans="1:65" x14ac:dyDescent="0.45">
      <c r="A504" s="33"/>
      <c r="B504" s="32">
        <v>10</v>
      </c>
      <c r="C504" s="32">
        <v>502</v>
      </c>
      <c r="D504" s="32">
        <v>60</v>
      </c>
      <c r="E504" s="32">
        <v>60</v>
      </c>
      <c r="F504" s="32">
        <v>60</v>
      </c>
      <c r="G504" s="32">
        <v>60</v>
      </c>
      <c r="H504" s="32">
        <v>60</v>
      </c>
      <c r="I504" s="32">
        <v>60</v>
      </c>
      <c r="J504" s="32">
        <v>48</v>
      </c>
      <c r="K504" s="32">
        <v>48</v>
      </c>
      <c r="L504" s="32">
        <v>48</v>
      </c>
      <c r="M504" s="39"/>
      <c r="N504" s="43">
        <f t="shared" si="14"/>
        <v>9</v>
      </c>
      <c r="O504" s="33"/>
      <c r="P504" s="32">
        <v>10</v>
      </c>
      <c r="Q504" s="32">
        <v>502</v>
      </c>
      <c r="R504" s="32">
        <v>120</v>
      </c>
      <c r="S504" s="32">
        <v>120</v>
      </c>
      <c r="T504" s="32">
        <v>120</v>
      </c>
      <c r="U504" s="32">
        <v>96</v>
      </c>
      <c r="V504" s="32">
        <v>48</v>
      </c>
      <c r="W504" s="32"/>
      <c r="X504">
        <f t="shared" si="15"/>
        <v>5</v>
      </c>
      <c r="BK504" s="32">
        <v>502</v>
      </c>
      <c r="BL504">
        <v>25</v>
      </c>
      <c r="BM504">
        <v>4.5</v>
      </c>
    </row>
    <row r="505" spans="1:65" x14ac:dyDescent="0.45">
      <c r="A505" s="33"/>
      <c r="B505" s="32">
        <v>11</v>
      </c>
      <c r="C505" s="32">
        <v>503</v>
      </c>
      <c r="D505" s="32">
        <v>60</v>
      </c>
      <c r="E505" s="32">
        <v>60</v>
      </c>
      <c r="F505" s="32">
        <v>60</v>
      </c>
      <c r="G505" s="32">
        <v>60</v>
      </c>
      <c r="H505" s="32">
        <v>60</v>
      </c>
      <c r="I505" s="32">
        <v>60</v>
      </c>
      <c r="J505" s="32">
        <v>48</v>
      </c>
      <c r="K505" s="32">
        <v>48</v>
      </c>
      <c r="L505" s="32">
        <v>48</v>
      </c>
      <c r="M505" s="39"/>
      <c r="N505" s="43">
        <f t="shared" si="14"/>
        <v>9</v>
      </c>
      <c r="O505" s="33"/>
      <c r="P505" s="32">
        <v>11</v>
      </c>
      <c r="Q505" s="32">
        <v>503</v>
      </c>
      <c r="R505" s="32">
        <v>120</v>
      </c>
      <c r="S505" s="32">
        <v>120</v>
      </c>
      <c r="T505" s="32">
        <v>120</v>
      </c>
      <c r="U505" s="32">
        <v>96</v>
      </c>
      <c r="V505" s="32">
        <v>48</v>
      </c>
      <c r="W505" s="32"/>
      <c r="X505">
        <f t="shared" si="15"/>
        <v>5</v>
      </c>
      <c r="BK505" s="32">
        <v>503</v>
      </c>
      <c r="BL505">
        <v>25</v>
      </c>
      <c r="BM505">
        <v>4.5</v>
      </c>
    </row>
    <row r="506" spans="1:65" x14ac:dyDescent="0.45">
      <c r="A506" s="33">
        <v>42</v>
      </c>
      <c r="B506" s="32"/>
      <c r="C506" s="32">
        <v>504</v>
      </c>
      <c r="D506" s="32">
        <v>60</v>
      </c>
      <c r="E506" s="32">
        <v>60</v>
      </c>
      <c r="F506" s="32">
        <v>60</v>
      </c>
      <c r="G506" s="32">
        <v>60</v>
      </c>
      <c r="H506" s="32">
        <v>60</v>
      </c>
      <c r="I506" s="32">
        <v>60</v>
      </c>
      <c r="J506" s="32">
        <v>48</v>
      </c>
      <c r="K506" s="32">
        <v>48</v>
      </c>
      <c r="L506" s="32">
        <v>48</v>
      </c>
      <c r="M506" s="39"/>
      <c r="N506" s="43">
        <f t="shared" si="14"/>
        <v>9</v>
      </c>
      <c r="O506" s="33">
        <v>42</v>
      </c>
      <c r="P506" s="32"/>
      <c r="Q506" s="32">
        <v>504</v>
      </c>
      <c r="R506" s="32">
        <v>120</v>
      </c>
      <c r="S506" s="32">
        <v>120</v>
      </c>
      <c r="T506" s="32">
        <v>120</v>
      </c>
      <c r="U506" s="32">
        <v>96</v>
      </c>
      <c r="V506" s="32">
        <v>48</v>
      </c>
      <c r="W506" s="32"/>
      <c r="X506">
        <f t="shared" si="15"/>
        <v>5</v>
      </c>
      <c r="BK506" s="32">
        <v>504</v>
      </c>
      <c r="BL506">
        <v>25</v>
      </c>
      <c r="BM506">
        <v>4.5</v>
      </c>
    </row>
    <row r="507" spans="1:65" x14ac:dyDescent="0.45">
      <c r="A507" s="33"/>
      <c r="B507" s="32">
        <v>1</v>
      </c>
      <c r="C507" s="32">
        <v>505</v>
      </c>
      <c r="D507" s="32">
        <v>60</v>
      </c>
      <c r="E507" s="32">
        <v>60</v>
      </c>
      <c r="F507" s="32">
        <v>60</v>
      </c>
      <c r="G507" s="32">
        <v>60</v>
      </c>
      <c r="H507" s="32">
        <v>60</v>
      </c>
      <c r="I507" s="32">
        <v>60</v>
      </c>
      <c r="J507" s="32">
        <v>60</v>
      </c>
      <c r="K507" s="32">
        <v>48</v>
      </c>
      <c r="L507" s="32">
        <v>48</v>
      </c>
      <c r="M507" s="39"/>
      <c r="N507" s="43">
        <f t="shared" si="14"/>
        <v>9</v>
      </c>
      <c r="O507" s="33"/>
      <c r="P507" s="32">
        <v>1</v>
      </c>
      <c r="Q507" s="32">
        <v>505</v>
      </c>
      <c r="R507" s="32">
        <v>120</v>
      </c>
      <c r="S507" s="32">
        <v>120</v>
      </c>
      <c r="T507" s="32">
        <v>120</v>
      </c>
      <c r="U507" s="32">
        <v>96</v>
      </c>
      <c r="V507" s="32">
        <v>60</v>
      </c>
      <c r="W507" s="32"/>
      <c r="X507">
        <f t="shared" si="15"/>
        <v>5</v>
      </c>
      <c r="BK507" s="32">
        <v>505</v>
      </c>
      <c r="BL507">
        <v>25</v>
      </c>
      <c r="BM507">
        <v>4.5</v>
      </c>
    </row>
    <row r="508" spans="1:65" x14ac:dyDescent="0.45">
      <c r="A508" s="33"/>
      <c r="B508" s="32">
        <v>2</v>
      </c>
      <c r="C508" s="32">
        <v>506</v>
      </c>
      <c r="D508" s="32">
        <v>60</v>
      </c>
      <c r="E508" s="32">
        <v>60</v>
      </c>
      <c r="F508" s="32">
        <v>60</v>
      </c>
      <c r="G508" s="32">
        <v>60</v>
      </c>
      <c r="H508" s="32">
        <v>60</v>
      </c>
      <c r="I508" s="32">
        <v>60</v>
      </c>
      <c r="J508" s="32">
        <v>60</v>
      </c>
      <c r="K508" s="32">
        <v>48</v>
      </c>
      <c r="L508" s="32">
        <v>48</v>
      </c>
      <c r="M508" s="39"/>
      <c r="N508" s="43">
        <f t="shared" si="14"/>
        <v>9</v>
      </c>
      <c r="O508" s="33"/>
      <c r="P508" s="32">
        <v>2</v>
      </c>
      <c r="Q508" s="32">
        <v>506</v>
      </c>
      <c r="R508" s="32">
        <v>120</v>
      </c>
      <c r="S508" s="32">
        <v>120</v>
      </c>
      <c r="T508" s="32">
        <v>120</v>
      </c>
      <c r="U508" s="32">
        <v>96</v>
      </c>
      <c r="V508" s="32">
        <v>60</v>
      </c>
      <c r="W508" s="32"/>
      <c r="X508">
        <f t="shared" si="15"/>
        <v>5</v>
      </c>
      <c r="BK508" s="32">
        <v>506</v>
      </c>
      <c r="BL508">
        <v>25</v>
      </c>
      <c r="BM508">
        <v>4.5</v>
      </c>
    </row>
    <row r="509" spans="1:65" x14ac:dyDescent="0.45">
      <c r="A509" s="33"/>
      <c r="B509" s="32">
        <v>3</v>
      </c>
      <c r="C509" s="32">
        <v>507</v>
      </c>
      <c r="D509" s="32">
        <v>60</v>
      </c>
      <c r="E509" s="32">
        <v>60</v>
      </c>
      <c r="F509" s="32">
        <v>60</v>
      </c>
      <c r="G509" s="32">
        <v>60</v>
      </c>
      <c r="H509" s="32">
        <v>60</v>
      </c>
      <c r="I509" s="32">
        <v>60</v>
      </c>
      <c r="J509" s="32">
        <v>60</v>
      </c>
      <c r="K509" s="32">
        <v>48</v>
      </c>
      <c r="L509" s="32">
        <v>48</v>
      </c>
      <c r="M509" s="39"/>
      <c r="N509" s="43">
        <f t="shared" si="14"/>
        <v>9</v>
      </c>
      <c r="O509" s="33"/>
      <c r="P509" s="32">
        <v>3</v>
      </c>
      <c r="Q509" s="32">
        <v>507</v>
      </c>
      <c r="R509" s="32">
        <v>120</v>
      </c>
      <c r="S509" s="32">
        <v>120</v>
      </c>
      <c r="T509" s="32">
        <v>120</v>
      </c>
      <c r="U509" s="32">
        <v>96</v>
      </c>
      <c r="V509" s="32">
        <v>60</v>
      </c>
      <c r="W509" s="32"/>
      <c r="X509">
        <f t="shared" si="15"/>
        <v>5</v>
      </c>
      <c r="BK509" s="32">
        <v>507</v>
      </c>
      <c r="BL509">
        <v>25</v>
      </c>
      <c r="BM509">
        <v>4.5</v>
      </c>
    </row>
    <row r="510" spans="1:65" x14ac:dyDescent="0.45">
      <c r="A510" s="33"/>
      <c r="B510" s="32">
        <v>4</v>
      </c>
      <c r="C510" s="32">
        <v>508</v>
      </c>
      <c r="D510" s="32">
        <v>60</v>
      </c>
      <c r="E510" s="32">
        <v>60</v>
      </c>
      <c r="F510" s="32">
        <v>60</v>
      </c>
      <c r="G510" s="32">
        <v>60</v>
      </c>
      <c r="H510" s="32">
        <v>60</v>
      </c>
      <c r="I510" s="32">
        <v>60</v>
      </c>
      <c r="J510" s="32">
        <v>60</v>
      </c>
      <c r="K510" s="32">
        <v>48</v>
      </c>
      <c r="L510" s="32">
        <v>48</v>
      </c>
      <c r="M510" s="39"/>
      <c r="N510" s="43">
        <f t="shared" si="14"/>
        <v>9</v>
      </c>
      <c r="O510" s="33"/>
      <c r="P510" s="32">
        <v>4</v>
      </c>
      <c r="Q510" s="32">
        <v>508</v>
      </c>
      <c r="R510" s="32">
        <v>120</v>
      </c>
      <c r="S510" s="32">
        <v>120</v>
      </c>
      <c r="T510" s="32">
        <v>120</v>
      </c>
      <c r="U510" s="32">
        <v>96</v>
      </c>
      <c r="V510" s="32">
        <v>60</v>
      </c>
      <c r="W510" s="32"/>
      <c r="X510">
        <f t="shared" si="15"/>
        <v>5</v>
      </c>
      <c r="BK510" s="32">
        <v>508</v>
      </c>
      <c r="BL510">
        <v>25</v>
      </c>
      <c r="BM510">
        <v>4.5</v>
      </c>
    </row>
    <row r="511" spans="1:65" x14ac:dyDescent="0.45">
      <c r="A511" s="33"/>
      <c r="B511" s="32">
        <v>5</v>
      </c>
      <c r="C511" s="32">
        <v>509</v>
      </c>
      <c r="D511" s="32">
        <v>60</v>
      </c>
      <c r="E511" s="32">
        <v>60</v>
      </c>
      <c r="F511" s="32">
        <v>60</v>
      </c>
      <c r="G511" s="32">
        <v>60</v>
      </c>
      <c r="H511" s="32">
        <v>60</v>
      </c>
      <c r="I511" s="32">
        <v>60</v>
      </c>
      <c r="J511" s="32">
        <v>60</v>
      </c>
      <c r="K511" s="32">
        <v>48</v>
      </c>
      <c r="L511" s="32">
        <v>48</v>
      </c>
      <c r="M511" s="39"/>
      <c r="N511" s="43">
        <f t="shared" si="14"/>
        <v>9</v>
      </c>
      <c r="O511" s="33"/>
      <c r="P511" s="32">
        <v>5</v>
      </c>
      <c r="Q511" s="32">
        <v>509</v>
      </c>
      <c r="R511" s="32">
        <v>120</v>
      </c>
      <c r="S511" s="32">
        <v>120</v>
      </c>
      <c r="T511" s="32">
        <v>120</v>
      </c>
      <c r="U511" s="32">
        <v>96</v>
      </c>
      <c r="V511" s="32">
        <v>60</v>
      </c>
      <c r="W511" s="32"/>
      <c r="X511">
        <f t="shared" si="15"/>
        <v>5</v>
      </c>
      <c r="BK511" s="32">
        <v>509</v>
      </c>
      <c r="BL511">
        <v>25</v>
      </c>
      <c r="BM511">
        <v>4.5</v>
      </c>
    </row>
    <row r="512" spans="1:65" x14ac:dyDescent="0.45">
      <c r="A512" s="33"/>
      <c r="B512" s="32">
        <v>6</v>
      </c>
      <c r="C512" s="32">
        <v>510</v>
      </c>
      <c r="D512" s="32">
        <v>60</v>
      </c>
      <c r="E512" s="32">
        <v>60</v>
      </c>
      <c r="F512" s="32">
        <v>60</v>
      </c>
      <c r="G512" s="32">
        <v>60</v>
      </c>
      <c r="H512" s="32">
        <v>60</v>
      </c>
      <c r="I512" s="32">
        <v>60</v>
      </c>
      <c r="J512" s="32">
        <v>60</v>
      </c>
      <c r="K512" s="32">
        <v>48</v>
      </c>
      <c r="L512" s="32">
        <v>48</v>
      </c>
      <c r="M512" s="39"/>
      <c r="N512" s="43">
        <f t="shared" si="14"/>
        <v>9</v>
      </c>
      <c r="O512" s="33"/>
      <c r="P512" s="32">
        <v>6</v>
      </c>
      <c r="Q512" s="32">
        <v>510</v>
      </c>
      <c r="R512" s="32">
        <v>120</v>
      </c>
      <c r="S512" s="32">
        <v>120</v>
      </c>
      <c r="T512" s="32">
        <v>120</v>
      </c>
      <c r="U512" s="32">
        <v>96</v>
      </c>
      <c r="V512" s="32">
        <v>60</v>
      </c>
      <c r="W512" s="32"/>
      <c r="X512">
        <f t="shared" si="15"/>
        <v>5</v>
      </c>
      <c r="BK512" s="32">
        <v>510</v>
      </c>
      <c r="BL512">
        <v>25</v>
      </c>
      <c r="BM512">
        <v>4.5</v>
      </c>
    </row>
    <row r="513" spans="1:65" x14ac:dyDescent="0.45">
      <c r="A513" s="33"/>
      <c r="B513" s="32">
        <v>7</v>
      </c>
      <c r="C513" s="32">
        <v>511</v>
      </c>
      <c r="D513" s="32">
        <v>60</v>
      </c>
      <c r="E513" s="32">
        <v>60</v>
      </c>
      <c r="F513" s="32">
        <v>60</v>
      </c>
      <c r="G513" s="32">
        <v>60</v>
      </c>
      <c r="H513" s="32">
        <v>60</v>
      </c>
      <c r="I513" s="32">
        <v>60</v>
      </c>
      <c r="J513" s="32">
        <v>60</v>
      </c>
      <c r="K513" s="32">
        <v>48</v>
      </c>
      <c r="L513" s="32">
        <v>48</v>
      </c>
      <c r="M513" s="39"/>
      <c r="N513" s="43">
        <f t="shared" si="14"/>
        <v>9</v>
      </c>
      <c r="O513" s="33"/>
      <c r="P513" s="32">
        <v>7</v>
      </c>
      <c r="Q513" s="32">
        <v>511</v>
      </c>
      <c r="R513" s="32">
        <v>120</v>
      </c>
      <c r="S513" s="32">
        <v>120</v>
      </c>
      <c r="T513" s="32">
        <v>120</v>
      </c>
      <c r="U513" s="32">
        <v>96</v>
      </c>
      <c r="V513" s="32">
        <v>60</v>
      </c>
      <c r="W513" s="32"/>
      <c r="X513">
        <f t="shared" si="15"/>
        <v>5</v>
      </c>
      <c r="BK513" s="32">
        <v>511</v>
      </c>
      <c r="BL513">
        <v>25</v>
      </c>
      <c r="BM513">
        <v>4.5</v>
      </c>
    </row>
    <row r="514" spans="1:65" x14ac:dyDescent="0.45">
      <c r="A514" s="33"/>
      <c r="B514" s="32">
        <v>8</v>
      </c>
      <c r="C514" s="32">
        <v>512</v>
      </c>
      <c r="D514" s="32">
        <v>60</v>
      </c>
      <c r="E514" s="32">
        <v>60</v>
      </c>
      <c r="F514" s="32">
        <v>60</v>
      </c>
      <c r="G514" s="32">
        <v>60</v>
      </c>
      <c r="H514" s="32">
        <v>60</v>
      </c>
      <c r="I514" s="32">
        <v>60</v>
      </c>
      <c r="J514" s="32">
        <v>60</v>
      </c>
      <c r="K514" s="32">
        <v>48</v>
      </c>
      <c r="L514" s="32">
        <v>48</v>
      </c>
      <c r="M514" s="39"/>
      <c r="N514" s="43">
        <f t="shared" si="14"/>
        <v>9</v>
      </c>
      <c r="O514" s="33"/>
      <c r="P514" s="32">
        <v>8</v>
      </c>
      <c r="Q514" s="32">
        <v>512</v>
      </c>
      <c r="R514" s="32">
        <v>120</v>
      </c>
      <c r="S514" s="32">
        <v>120</v>
      </c>
      <c r="T514" s="32">
        <v>120</v>
      </c>
      <c r="U514" s="32">
        <v>96</v>
      </c>
      <c r="V514" s="32">
        <v>60</v>
      </c>
      <c r="W514" s="32"/>
      <c r="X514">
        <f t="shared" si="15"/>
        <v>5</v>
      </c>
      <c r="BK514" s="32">
        <v>512</v>
      </c>
      <c r="BL514">
        <v>25</v>
      </c>
      <c r="BM514">
        <v>4.5</v>
      </c>
    </row>
    <row r="515" spans="1:65" x14ac:dyDescent="0.45">
      <c r="A515" s="33"/>
      <c r="B515" s="32">
        <v>9</v>
      </c>
      <c r="C515" s="32">
        <v>513</v>
      </c>
      <c r="D515" s="32">
        <v>60</v>
      </c>
      <c r="E515" s="32">
        <v>60</v>
      </c>
      <c r="F515" s="32">
        <v>60</v>
      </c>
      <c r="G515" s="32">
        <v>60</v>
      </c>
      <c r="H515" s="32">
        <v>60</v>
      </c>
      <c r="I515" s="32">
        <v>60</v>
      </c>
      <c r="J515" s="32">
        <v>60</v>
      </c>
      <c r="K515" s="32">
        <v>48</v>
      </c>
      <c r="L515" s="32">
        <v>48</v>
      </c>
      <c r="M515" s="39"/>
      <c r="N515" s="43">
        <f t="shared" si="14"/>
        <v>9</v>
      </c>
      <c r="O515" s="33"/>
      <c r="P515" s="32">
        <v>9</v>
      </c>
      <c r="Q515" s="32">
        <v>513</v>
      </c>
      <c r="R515" s="32">
        <v>120</v>
      </c>
      <c r="S515" s="32">
        <v>120</v>
      </c>
      <c r="T515" s="32">
        <v>120</v>
      </c>
      <c r="U515" s="32">
        <v>96</v>
      </c>
      <c r="V515" s="32">
        <v>60</v>
      </c>
      <c r="W515" s="32"/>
      <c r="X515">
        <f t="shared" si="15"/>
        <v>5</v>
      </c>
      <c r="BK515" s="32">
        <v>513</v>
      </c>
      <c r="BL515">
        <v>25</v>
      </c>
      <c r="BM515">
        <v>4.5</v>
      </c>
    </row>
    <row r="516" spans="1:65" x14ac:dyDescent="0.45">
      <c r="A516" s="33"/>
      <c r="B516" s="32">
        <v>10</v>
      </c>
      <c r="C516" s="32">
        <v>514</v>
      </c>
      <c r="D516" s="32">
        <v>60</v>
      </c>
      <c r="E516" s="32">
        <v>60</v>
      </c>
      <c r="F516" s="32">
        <v>60</v>
      </c>
      <c r="G516" s="32">
        <v>60</v>
      </c>
      <c r="H516" s="32">
        <v>60</v>
      </c>
      <c r="I516" s="32">
        <v>60</v>
      </c>
      <c r="J516" s="32">
        <v>60</v>
      </c>
      <c r="K516" s="32">
        <v>48</v>
      </c>
      <c r="L516" s="32">
        <v>48</v>
      </c>
      <c r="M516" s="39"/>
      <c r="N516" s="43">
        <f t="shared" ref="N516:N579" si="16">COUNT(D516:M516)</f>
        <v>9</v>
      </c>
      <c r="O516" s="33"/>
      <c r="P516" s="32">
        <v>10</v>
      </c>
      <c r="Q516" s="32">
        <v>514</v>
      </c>
      <c r="R516" s="32">
        <v>120</v>
      </c>
      <c r="S516" s="32">
        <v>120</v>
      </c>
      <c r="T516" s="32">
        <v>120</v>
      </c>
      <c r="U516" s="32">
        <v>96</v>
      </c>
      <c r="V516" s="32">
        <v>60</v>
      </c>
      <c r="W516" s="32"/>
      <c r="X516">
        <f t="shared" ref="X516:X579" si="17">COUNT(R516:W516)</f>
        <v>5</v>
      </c>
      <c r="BK516" s="32">
        <v>514</v>
      </c>
      <c r="BL516">
        <v>25</v>
      </c>
      <c r="BM516">
        <v>4.5</v>
      </c>
    </row>
    <row r="517" spans="1:65" x14ac:dyDescent="0.45">
      <c r="A517" s="33"/>
      <c r="B517" s="32">
        <v>11</v>
      </c>
      <c r="C517" s="32">
        <v>515</v>
      </c>
      <c r="D517" s="32">
        <v>60</v>
      </c>
      <c r="E517" s="32">
        <v>60</v>
      </c>
      <c r="F517" s="32">
        <v>60</v>
      </c>
      <c r="G517" s="32">
        <v>60</v>
      </c>
      <c r="H517" s="32">
        <v>60</v>
      </c>
      <c r="I517" s="32">
        <v>60</v>
      </c>
      <c r="J517" s="32">
        <v>60</v>
      </c>
      <c r="K517" s="32">
        <v>48</v>
      </c>
      <c r="L517" s="32">
        <v>48</v>
      </c>
      <c r="M517" s="39"/>
      <c r="N517" s="43">
        <f t="shared" si="16"/>
        <v>9</v>
      </c>
      <c r="O517" s="33"/>
      <c r="P517" s="32">
        <v>11</v>
      </c>
      <c r="Q517" s="32">
        <v>515</v>
      </c>
      <c r="R517" s="32">
        <v>120</v>
      </c>
      <c r="S517" s="32">
        <v>120</v>
      </c>
      <c r="T517" s="32">
        <v>120</v>
      </c>
      <c r="U517" s="32">
        <v>96</v>
      </c>
      <c r="V517" s="32">
        <v>60</v>
      </c>
      <c r="W517" s="32"/>
      <c r="X517">
        <f t="shared" si="17"/>
        <v>5</v>
      </c>
      <c r="BK517" s="32">
        <v>515</v>
      </c>
      <c r="BL517">
        <v>25</v>
      </c>
      <c r="BM517">
        <v>4.5</v>
      </c>
    </row>
    <row r="518" spans="1:65" x14ac:dyDescent="0.45">
      <c r="A518" s="33">
        <v>43</v>
      </c>
      <c r="B518" s="32"/>
      <c r="C518" s="32">
        <v>516</v>
      </c>
      <c r="D518" s="32">
        <v>60</v>
      </c>
      <c r="E518" s="32">
        <v>60</v>
      </c>
      <c r="F518" s="32">
        <v>60</v>
      </c>
      <c r="G518" s="32">
        <v>60</v>
      </c>
      <c r="H518" s="32">
        <v>60</v>
      </c>
      <c r="I518" s="32">
        <v>60</v>
      </c>
      <c r="J518" s="32">
        <v>60</v>
      </c>
      <c r="K518" s="32">
        <v>48</v>
      </c>
      <c r="L518" s="32">
        <v>48</v>
      </c>
      <c r="M518" s="39"/>
      <c r="N518" s="43">
        <f t="shared" si="16"/>
        <v>9</v>
      </c>
      <c r="O518" s="33">
        <v>43</v>
      </c>
      <c r="P518" s="32"/>
      <c r="Q518" s="32">
        <v>516</v>
      </c>
      <c r="R518" s="32">
        <v>120</v>
      </c>
      <c r="S518" s="32">
        <v>120</v>
      </c>
      <c r="T518" s="32">
        <v>120</v>
      </c>
      <c r="U518" s="32">
        <v>96</v>
      </c>
      <c r="V518" s="32">
        <v>60</v>
      </c>
      <c r="W518" s="32"/>
      <c r="X518">
        <f t="shared" si="17"/>
        <v>5</v>
      </c>
      <c r="BK518" s="32">
        <v>516</v>
      </c>
      <c r="BL518">
        <v>25</v>
      </c>
      <c r="BM518">
        <v>4.5</v>
      </c>
    </row>
    <row r="519" spans="1:65" x14ac:dyDescent="0.45">
      <c r="A519" s="33"/>
      <c r="B519" s="32">
        <v>1</v>
      </c>
      <c r="C519" s="32">
        <v>517</v>
      </c>
      <c r="D519" s="32">
        <v>60</v>
      </c>
      <c r="E519" s="32">
        <v>60</v>
      </c>
      <c r="F519" s="32">
        <v>60</v>
      </c>
      <c r="G519" s="32">
        <v>60</v>
      </c>
      <c r="H519" s="32">
        <v>60</v>
      </c>
      <c r="I519" s="32">
        <v>60</v>
      </c>
      <c r="J519" s="32">
        <v>60</v>
      </c>
      <c r="K519" s="32">
        <v>60</v>
      </c>
      <c r="L519" s="32">
        <v>48</v>
      </c>
      <c r="M519" s="39"/>
      <c r="N519" s="43">
        <f t="shared" si="16"/>
        <v>9</v>
      </c>
      <c r="O519" s="33"/>
      <c r="P519" s="32">
        <v>1</v>
      </c>
      <c r="Q519" s="32">
        <v>517</v>
      </c>
      <c r="R519" s="32">
        <v>120</v>
      </c>
      <c r="S519" s="32">
        <v>120</v>
      </c>
      <c r="T519" s="32">
        <v>120</v>
      </c>
      <c r="U519" s="32">
        <v>120</v>
      </c>
      <c r="V519" s="32">
        <v>48</v>
      </c>
      <c r="W519" s="32"/>
      <c r="X519">
        <f t="shared" si="17"/>
        <v>5</v>
      </c>
      <c r="BK519" s="32">
        <v>517</v>
      </c>
      <c r="BL519">
        <v>25</v>
      </c>
      <c r="BM519">
        <v>4.5</v>
      </c>
    </row>
    <row r="520" spans="1:65" x14ac:dyDescent="0.45">
      <c r="A520" s="33"/>
      <c r="B520" s="32">
        <v>2</v>
      </c>
      <c r="C520" s="32">
        <v>518</v>
      </c>
      <c r="D520" s="32">
        <v>60</v>
      </c>
      <c r="E520" s="32">
        <v>60</v>
      </c>
      <c r="F520" s="32">
        <v>60</v>
      </c>
      <c r="G520" s="32">
        <v>60</v>
      </c>
      <c r="H520" s="32">
        <v>60</v>
      </c>
      <c r="I520" s="32">
        <v>60</v>
      </c>
      <c r="J520" s="32">
        <v>60</v>
      </c>
      <c r="K520" s="32">
        <v>60</v>
      </c>
      <c r="L520" s="32">
        <v>48</v>
      </c>
      <c r="M520" s="39"/>
      <c r="N520" s="43">
        <f t="shared" si="16"/>
        <v>9</v>
      </c>
      <c r="O520" s="33"/>
      <c r="P520" s="32">
        <v>2</v>
      </c>
      <c r="Q520" s="32">
        <v>518</v>
      </c>
      <c r="R520" s="32">
        <v>120</v>
      </c>
      <c r="S520" s="32">
        <v>120</v>
      </c>
      <c r="T520" s="32">
        <v>120</v>
      </c>
      <c r="U520" s="32">
        <v>120</v>
      </c>
      <c r="V520" s="32">
        <v>48</v>
      </c>
      <c r="W520" s="32"/>
      <c r="X520">
        <f t="shared" si="17"/>
        <v>5</v>
      </c>
      <c r="BK520" s="32">
        <v>518</v>
      </c>
      <c r="BL520">
        <v>25</v>
      </c>
      <c r="BM520">
        <v>4.5</v>
      </c>
    </row>
    <row r="521" spans="1:65" x14ac:dyDescent="0.45">
      <c r="A521" s="33"/>
      <c r="B521" s="32">
        <v>3</v>
      </c>
      <c r="C521" s="32">
        <v>519</v>
      </c>
      <c r="D521" s="32">
        <v>60</v>
      </c>
      <c r="E521" s="32">
        <v>60</v>
      </c>
      <c r="F521" s="32">
        <v>60</v>
      </c>
      <c r="G521" s="32">
        <v>60</v>
      </c>
      <c r="H521" s="32">
        <v>60</v>
      </c>
      <c r="I521" s="32">
        <v>60</v>
      </c>
      <c r="J521" s="32">
        <v>60</v>
      </c>
      <c r="K521" s="32">
        <v>60</v>
      </c>
      <c r="L521" s="32">
        <v>48</v>
      </c>
      <c r="M521" s="39"/>
      <c r="N521" s="43">
        <f t="shared" si="16"/>
        <v>9</v>
      </c>
      <c r="O521" s="33"/>
      <c r="P521" s="32">
        <v>3</v>
      </c>
      <c r="Q521" s="32">
        <v>519</v>
      </c>
      <c r="R521" s="32">
        <v>120</v>
      </c>
      <c r="S521" s="32">
        <v>120</v>
      </c>
      <c r="T521" s="32">
        <v>120</v>
      </c>
      <c r="U521" s="32">
        <v>120</v>
      </c>
      <c r="V521" s="32">
        <v>48</v>
      </c>
      <c r="W521" s="32"/>
      <c r="X521">
        <f t="shared" si="17"/>
        <v>5</v>
      </c>
      <c r="BK521" s="32">
        <v>519</v>
      </c>
      <c r="BL521">
        <v>25</v>
      </c>
      <c r="BM521">
        <v>4.5</v>
      </c>
    </row>
    <row r="522" spans="1:65" x14ac:dyDescent="0.45">
      <c r="A522" s="33"/>
      <c r="B522" s="32">
        <v>4</v>
      </c>
      <c r="C522" s="32">
        <v>520</v>
      </c>
      <c r="D522" s="32">
        <v>60</v>
      </c>
      <c r="E522" s="32">
        <v>60</v>
      </c>
      <c r="F522" s="32">
        <v>60</v>
      </c>
      <c r="G522" s="32">
        <v>60</v>
      </c>
      <c r="H522" s="32">
        <v>60</v>
      </c>
      <c r="I522" s="32">
        <v>60</v>
      </c>
      <c r="J522" s="32">
        <v>60</v>
      </c>
      <c r="K522" s="32">
        <v>60</v>
      </c>
      <c r="L522" s="32">
        <v>48</v>
      </c>
      <c r="M522" s="39"/>
      <c r="N522" s="43">
        <f t="shared" si="16"/>
        <v>9</v>
      </c>
      <c r="O522" s="33"/>
      <c r="P522" s="32">
        <v>4</v>
      </c>
      <c r="Q522" s="32">
        <v>520</v>
      </c>
      <c r="R522" s="32">
        <v>120</v>
      </c>
      <c r="S522" s="32">
        <v>120</v>
      </c>
      <c r="T522" s="32">
        <v>120</v>
      </c>
      <c r="U522" s="32">
        <v>120</v>
      </c>
      <c r="V522" s="32">
        <v>48</v>
      </c>
      <c r="W522" s="32"/>
      <c r="X522">
        <f t="shared" si="17"/>
        <v>5</v>
      </c>
      <c r="BK522" s="32">
        <v>520</v>
      </c>
      <c r="BL522">
        <v>25</v>
      </c>
      <c r="BM522">
        <v>4.5</v>
      </c>
    </row>
    <row r="523" spans="1:65" x14ac:dyDescent="0.45">
      <c r="A523" s="33"/>
      <c r="B523" s="32">
        <v>5</v>
      </c>
      <c r="C523" s="32">
        <v>521</v>
      </c>
      <c r="D523" s="32">
        <v>60</v>
      </c>
      <c r="E523" s="32">
        <v>60</v>
      </c>
      <c r="F523" s="32">
        <v>60</v>
      </c>
      <c r="G523" s="32">
        <v>60</v>
      </c>
      <c r="H523" s="32">
        <v>60</v>
      </c>
      <c r="I523" s="32">
        <v>60</v>
      </c>
      <c r="J523" s="32">
        <v>60</v>
      </c>
      <c r="K523" s="32">
        <v>60</v>
      </c>
      <c r="L523" s="32">
        <v>48</v>
      </c>
      <c r="M523" s="39"/>
      <c r="N523" s="43">
        <f t="shared" si="16"/>
        <v>9</v>
      </c>
      <c r="O523" s="33"/>
      <c r="P523" s="32">
        <v>5</v>
      </c>
      <c r="Q523" s="32">
        <v>521</v>
      </c>
      <c r="R523" s="32">
        <v>120</v>
      </c>
      <c r="S523" s="32">
        <v>120</v>
      </c>
      <c r="T523" s="32">
        <v>120</v>
      </c>
      <c r="U523" s="32">
        <v>120</v>
      </c>
      <c r="V523" s="32">
        <v>48</v>
      </c>
      <c r="W523" s="32"/>
      <c r="X523">
        <f t="shared" si="17"/>
        <v>5</v>
      </c>
      <c r="BK523" s="32">
        <v>521</v>
      </c>
      <c r="BL523">
        <v>25</v>
      </c>
      <c r="BM523">
        <v>4.5</v>
      </c>
    </row>
    <row r="524" spans="1:65" x14ac:dyDescent="0.45">
      <c r="A524" s="33"/>
      <c r="B524" s="32">
        <v>6</v>
      </c>
      <c r="C524" s="32">
        <v>522</v>
      </c>
      <c r="D524" s="32">
        <v>60</v>
      </c>
      <c r="E524" s="32">
        <v>60</v>
      </c>
      <c r="F524" s="32">
        <v>60</v>
      </c>
      <c r="G524" s="32">
        <v>60</v>
      </c>
      <c r="H524" s="32">
        <v>60</v>
      </c>
      <c r="I524" s="32">
        <v>60</v>
      </c>
      <c r="J524" s="32">
        <v>60</v>
      </c>
      <c r="K524" s="32">
        <v>60</v>
      </c>
      <c r="L524" s="32">
        <v>48</v>
      </c>
      <c r="M524" s="39"/>
      <c r="N524" s="43">
        <f t="shared" si="16"/>
        <v>9</v>
      </c>
      <c r="O524" s="33"/>
      <c r="P524" s="32">
        <v>6</v>
      </c>
      <c r="Q524" s="32">
        <v>522</v>
      </c>
      <c r="R524" s="32">
        <v>120</v>
      </c>
      <c r="S524" s="32">
        <v>120</v>
      </c>
      <c r="T524" s="32">
        <v>120</v>
      </c>
      <c r="U524" s="32">
        <v>120</v>
      </c>
      <c r="V524" s="32">
        <v>48</v>
      </c>
      <c r="W524" s="32"/>
      <c r="X524">
        <f t="shared" si="17"/>
        <v>5</v>
      </c>
      <c r="BK524" s="32">
        <v>522</v>
      </c>
      <c r="BL524">
        <v>25</v>
      </c>
      <c r="BM524">
        <v>4.5</v>
      </c>
    </row>
    <row r="525" spans="1:65" x14ac:dyDescent="0.45">
      <c r="A525" s="33"/>
      <c r="B525" s="32">
        <v>7</v>
      </c>
      <c r="C525" s="32">
        <v>523</v>
      </c>
      <c r="D525" s="32">
        <v>60</v>
      </c>
      <c r="E525" s="32">
        <v>60</v>
      </c>
      <c r="F525" s="32">
        <v>60</v>
      </c>
      <c r="G525" s="32">
        <v>60</v>
      </c>
      <c r="H525" s="32">
        <v>60</v>
      </c>
      <c r="I525" s="32">
        <v>60</v>
      </c>
      <c r="J525" s="32">
        <v>60</v>
      </c>
      <c r="K525" s="32">
        <v>60</v>
      </c>
      <c r="L525" s="32">
        <v>48</v>
      </c>
      <c r="M525" s="39"/>
      <c r="N525" s="43">
        <f t="shared" si="16"/>
        <v>9</v>
      </c>
      <c r="O525" s="33"/>
      <c r="P525" s="32">
        <v>7</v>
      </c>
      <c r="Q525" s="32">
        <v>523</v>
      </c>
      <c r="R525" s="32">
        <v>120</v>
      </c>
      <c r="S525" s="32">
        <v>120</v>
      </c>
      <c r="T525" s="32">
        <v>120</v>
      </c>
      <c r="U525" s="32">
        <v>120</v>
      </c>
      <c r="V525" s="32">
        <v>48</v>
      </c>
      <c r="W525" s="32"/>
      <c r="X525">
        <f t="shared" si="17"/>
        <v>5</v>
      </c>
      <c r="BK525" s="32">
        <v>523</v>
      </c>
      <c r="BL525">
        <v>25</v>
      </c>
      <c r="BM525">
        <v>4.5</v>
      </c>
    </row>
    <row r="526" spans="1:65" x14ac:dyDescent="0.45">
      <c r="A526" s="33"/>
      <c r="B526" s="32">
        <v>8</v>
      </c>
      <c r="C526" s="32">
        <v>524</v>
      </c>
      <c r="D526" s="32">
        <v>60</v>
      </c>
      <c r="E526" s="32">
        <v>60</v>
      </c>
      <c r="F526" s="32">
        <v>60</v>
      </c>
      <c r="G526" s="32">
        <v>60</v>
      </c>
      <c r="H526" s="32">
        <v>60</v>
      </c>
      <c r="I526" s="32">
        <v>60</v>
      </c>
      <c r="J526" s="32">
        <v>60</v>
      </c>
      <c r="K526" s="32">
        <v>60</v>
      </c>
      <c r="L526" s="32">
        <v>48</v>
      </c>
      <c r="M526" s="39"/>
      <c r="N526" s="43">
        <f t="shared" si="16"/>
        <v>9</v>
      </c>
      <c r="O526" s="33"/>
      <c r="P526" s="32">
        <v>8</v>
      </c>
      <c r="Q526" s="32">
        <v>524</v>
      </c>
      <c r="R526" s="32">
        <v>120</v>
      </c>
      <c r="S526" s="32">
        <v>120</v>
      </c>
      <c r="T526" s="32">
        <v>120</v>
      </c>
      <c r="U526" s="32">
        <v>120</v>
      </c>
      <c r="V526" s="32">
        <v>48</v>
      </c>
      <c r="W526" s="32"/>
      <c r="X526">
        <f t="shared" si="17"/>
        <v>5</v>
      </c>
      <c r="BK526" s="32">
        <v>524</v>
      </c>
      <c r="BL526">
        <v>25</v>
      </c>
      <c r="BM526">
        <v>4.5</v>
      </c>
    </row>
    <row r="527" spans="1:65" x14ac:dyDescent="0.45">
      <c r="A527" s="33"/>
      <c r="B527" s="32">
        <v>9</v>
      </c>
      <c r="C527" s="32">
        <v>525</v>
      </c>
      <c r="D527" s="32">
        <v>60</v>
      </c>
      <c r="E527" s="32">
        <v>60</v>
      </c>
      <c r="F527" s="32">
        <v>60</v>
      </c>
      <c r="G527" s="32">
        <v>60</v>
      </c>
      <c r="H527" s="32">
        <v>60</v>
      </c>
      <c r="I527" s="32">
        <v>60</v>
      </c>
      <c r="J527" s="32">
        <v>60</v>
      </c>
      <c r="K527" s="32">
        <v>60</v>
      </c>
      <c r="L527" s="32">
        <v>48</v>
      </c>
      <c r="M527" s="39"/>
      <c r="N527" s="43">
        <f t="shared" si="16"/>
        <v>9</v>
      </c>
      <c r="O527" s="33"/>
      <c r="P527" s="32">
        <v>9</v>
      </c>
      <c r="Q527" s="32">
        <v>525</v>
      </c>
      <c r="R527" s="32">
        <v>120</v>
      </c>
      <c r="S527" s="32">
        <v>120</v>
      </c>
      <c r="T527" s="32">
        <v>120</v>
      </c>
      <c r="U527" s="32">
        <v>120</v>
      </c>
      <c r="V527" s="32">
        <v>48</v>
      </c>
      <c r="W527" s="32"/>
      <c r="X527">
        <f t="shared" si="17"/>
        <v>5</v>
      </c>
      <c r="BK527" s="32">
        <v>525</v>
      </c>
      <c r="BL527">
        <v>25</v>
      </c>
      <c r="BM527">
        <v>4.5</v>
      </c>
    </row>
    <row r="528" spans="1:65" x14ac:dyDescent="0.45">
      <c r="A528" s="33"/>
      <c r="B528" s="32">
        <v>10</v>
      </c>
      <c r="C528" s="32">
        <v>526</v>
      </c>
      <c r="D528" s="32">
        <v>60</v>
      </c>
      <c r="E528" s="32">
        <v>60</v>
      </c>
      <c r="F528" s="32">
        <v>60</v>
      </c>
      <c r="G528" s="32">
        <v>60</v>
      </c>
      <c r="H528" s="32">
        <v>60</v>
      </c>
      <c r="I528" s="32">
        <v>60</v>
      </c>
      <c r="J528" s="32">
        <v>60</v>
      </c>
      <c r="K528" s="32">
        <v>60</v>
      </c>
      <c r="L528" s="32">
        <v>48</v>
      </c>
      <c r="M528" s="39"/>
      <c r="N528" s="43">
        <f t="shared" si="16"/>
        <v>9</v>
      </c>
      <c r="O528" s="33"/>
      <c r="P528" s="32">
        <v>10</v>
      </c>
      <c r="Q528" s="32">
        <v>526</v>
      </c>
      <c r="R528" s="32">
        <v>120</v>
      </c>
      <c r="S528" s="32">
        <v>120</v>
      </c>
      <c r="T528" s="32">
        <v>120</v>
      </c>
      <c r="U528" s="32">
        <v>120</v>
      </c>
      <c r="V528" s="32">
        <v>48</v>
      </c>
      <c r="W528" s="32"/>
      <c r="X528">
        <f t="shared" si="17"/>
        <v>5</v>
      </c>
      <c r="BK528" s="32">
        <v>526</v>
      </c>
      <c r="BL528">
        <v>25</v>
      </c>
      <c r="BM528">
        <v>4.5</v>
      </c>
    </row>
    <row r="529" spans="1:65" x14ac:dyDescent="0.45">
      <c r="A529" s="33"/>
      <c r="B529" s="32">
        <v>11</v>
      </c>
      <c r="C529" s="32">
        <v>527</v>
      </c>
      <c r="D529" s="32">
        <v>60</v>
      </c>
      <c r="E529" s="32">
        <v>60</v>
      </c>
      <c r="F529" s="32">
        <v>60</v>
      </c>
      <c r="G529" s="32">
        <v>60</v>
      </c>
      <c r="H529" s="32">
        <v>60</v>
      </c>
      <c r="I529" s="32">
        <v>60</v>
      </c>
      <c r="J529" s="32">
        <v>60</v>
      </c>
      <c r="K529" s="32">
        <v>60</v>
      </c>
      <c r="L529" s="32">
        <v>48</v>
      </c>
      <c r="M529" s="39"/>
      <c r="N529" s="43">
        <f t="shared" si="16"/>
        <v>9</v>
      </c>
      <c r="O529" s="33"/>
      <c r="P529" s="32">
        <v>11</v>
      </c>
      <c r="Q529" s="32">
        <v>527</v>
      </c>
      <c r="R529" s="32">
        <v>120</v>
      </c>
      <c r="S529" s="32">
        <v>120</v>
      </c>
      <c r="T529" s="32">
        <v>120</v>
      </c>
      <c r="U529" s="32">
        <v>120</v>
      </c>
      <c r="V529" s="32">
        <v>48</v>
      </c>
      <c r="W529" s="32"/>
      <c r="X529">
        <f t="shared" si="17"/>
        <v>5</v>
      </c>
      <c r="BK529" s="32">
        <v>527</v>
      </c>
      <c r="BL529">
        <v>25</v>
      </c>
      <c r="BM529">
        <v>4.5</v>
      </c>
    </row>
    <row r="530" spans="1:65" x14ac:dyDescent="0.45">
      <c r="A530" s="33">
        <v>44</v>
      </c>
      <c r="B530" s="32"/>
      <c r="C530" s="32">
        <v>528</v>
      </c>
      <c r="D530" s="32">
        <v>60</v>
      </c>
      <c r="E530" s="32">
        <v>60</v>
      </c>
      <c r="F530" s="32">
        <v>60</v>
      </c>
      <c r="G530" s="32">
        <v>60</v>
      </c>
      <c r="H530" s="32">
        <v>60</v>
      </c>
      <c r="I530" s="32">
        <v>60</v>
      </c>
      <c r="J530" s="32">
        <v>60</v>
      </c>
      <c r="K530" s="32">
        <v>60</v>
      </c>
      <c r="L530" s="32">
        <v>48</v>
      </c>
      <c r="M530" s="39"/>
      <c r="N530" s="43">
        <f t="shared" si="16"/>
        <v>9</v>
      </c>
      <c r="O530" s="33">
        <v>44</v>
      </c>
      <c r="P530" s="32"/>
      <c r="Q530" s="32">
        <v>528</v>
      </c>
      <c r="R530" s="32">
        <v>120</v>
      </c>
      <c r="S530" s="32">
        <v>120</v>
      </c>
      <c r="T530" s="32">
        <v>120</v>
      </c>
      <c r="U530" s="32">
        <v>120</v>
      </c>
      <c r="V530" s="32">
        <v>48</v>
      </c>
      <c r="W530" s="32"/>
      <c r="X530">
        <f t="shared" si="17"/>
        <v>5</v>
      </c>
      <c r="BK530" s="32">
        <v>528</v>
      </c>
      <c r="BL530">
        <v>25</v>
      </c>
      <c r="BM530">
        <v>4.5</v>
      </c>
    </row>
    <row r="531" spans="1:65" x14ac:dyDescent="0.45">
      <c r="A531" s="33"/>
      <c r="B531" s="32">
        <v>1</v>
      </c>
      <c r="C531" s="32">
        <v>529</v>
      </c>
      <c r="D531" s="32">
        <v>60</v>
      </c>
      <c r="E531" s="32">
        <v>60</v>
      </c>
      <c r="F531" s="32">
        <v>60</v>
      </c>
      <c r="G531" s="32">
        <v>60</v>
      </c>
      <c r="H531" s="32">
        <v>60</v>
      </c>
      <c r="I531" s="32">
        <v>60</v>
      </c>
      <c r="J531" s="32">
        <v>60</v>
      </c>
      <c r="K531" s="32">
        <v>60</v>
      </c>
      <c r="L531" s="32">
        <v>60</v>
      </c>
      <c r="M531" s="39"/>
      <c r="N531" s="43">
        <f t="shared" si="16"/>
        <v>9</v>
      </c>
      <c r="O531" s="33"/>
      <c r="P531" s="32">
        <v>1</v>
      </c>
      <c r="Q531" s="32">
        <v>529</v>
      </c>
      <c r="R531" s="32">
        <v>120</v>
      </c>
      <c r="S531" s="32">
        <v>120</v>
      </c>
      <c r="T531" s="32">
        <v>120</v>
      </c>
      <c r="U531" s="32">
        <v>120</v>
      </c>
      <c r="V531" s="32">
        <v>60</v>
      </c>
      <c r="W531" s="32"/>
      <c r="X531">
        <f t="shared" si="17"/>
        <v>5</v>
      </c>
      <c r="BK531" s="32">
        <v>529</v>
      </c>
      <c r="BL531">
        <v>25</v>
      </c>
      <c r="BM531">
        <v>4.5</v>
      </c>
    </row>
    <row r="532" spans="1:65" x14ac:dyDescent="0.45">
      <c r="A532" s="33"/>
      <c r="B532" s="32">
        <v>2</v>
      </c>
      <c r="C532" s="32">
        <v>530</v>
      </c>
      <c r="D532" s="32">
        <v>60</v>
      </c>
      <c r="E532" s="32">
        <v>60</v>
      </c>
      <c r="F532" s="32">
        <v>60</v>
      </c>
      <c r="G532" s="32">
        <v>60</v>
      </c>
      <c r="H532" s="32">
        <v>60</v>
      </c>
      <c r="I532" s="32">
        <v>60</v>
      </c>
      <c r="J532" s="32">
        <v>60</v>
      </c>
      <c r="K532" s="32">
        <v>60</v>
      </c>
      <c r="L532" s="32">
        <v>60</v>
      </c>
      <c r="M532" s="39"/>
      <c r="N532" s="43">
        <f t="shared" si="16"/>
        <v>9</v>
      </c>
      <c r="O532" s="33"/>
      <c r="P532" s="32">
        <v>2</v>
      </c>
      <c r="Q532" s="32">
        <v>530</v>
      </c>
      <c r="R532" s="32">
        <v>120</v>
      </c>
      <c r="S532" s="32">
        <v>120</v>
      </c>
      <c r="T532" s="32">
        <v>120</v>
      </c>
      <c r="U532" s="32">
        <v>120</v>
      </c>
      <c r="V532" s="32">
        <v>60</v>
      </c>
      <c r="W532" s="32"/>
      <c r="X532">
        <f t="shared" si="17"/>
        <v>5</v>
      </c>
      <c r="BK532" s="32">
        <v>530</v>
      </c>
      <c r="BL532">
        <v>25</v>
      </c>
      <c r="BM532">
        <v>4.5</v>
      </c>
    </row>
    <row r="533" spans="1:65" x14ac:dyDescent="0.45">
      <c r="A533" s="33"/>
      <c r="B533" s="32">
        <v>3</v>
      </c>
      <c r="C533" s="32">
        <v>531</v>
      </c>
      <c r="D533" s="32">
        <v>60</v>
      </c>
      <c r="E533" s="32">
        <v>60</v>
      </c>
      <c r="F533" s="32">
        <v>60</v>
      </c>
      <c r="G533" s="32">
        <v>60</v>
      </c>
      <c r="H533" s="32">
        <v>60</v>
      </c>
      <c r="I533" s="32">
        <v>60</v>
      </c>
      <c r="J533" s="32">
        <v>60</v>
      </c>
      <c r="K533" s="32">
        <v>60</v>
      </c>
      <c r="L533" s="32">
        <v>60</v>
      </c>
      <c r="M533" s="39"/>
      <c r="N533" s="43">
        <f t="shared" si="16"/>
        <v>9</v>
      </c>
      <c r="O533" s="33"/>
      <c r="P533" s="32">
        <v>3</v>
      </c>
      <c r="Q533" s="32">
        <v>531</v>
      </c>
      <c r="R533" s="32">
        <v>120</v>
      </c>
      <c r="S533" s="32">
        <v>120</v>
      </c>
      <c r="T533" s="32">
        <v>120</v>
      </c>
      <c r="U533" s="32">
        <v>120</v>
      </c>
      <c r="V533" s="32">
        <v>60</v>
      </c>
      <c r="W533" s="32"/>
      <c r="X533">
        <f t="shared" si="17"/>
        <v>5</v>
      </c>
      <c r="BK533" s="32">
        <v>531</v>
      </c>
      <c r="BL533">
        <v>25</v>
      </c>
      <c r="BM533">
        <v>4.5</v>
      </c>
    </row>
    <row r="534" spans="1:65" x14ac:dyDescent="0.45">
      <c r="A534" s="33"/>
      <c r="B534" s="32">
        <v>4</v>
      </c>
      <c r="C534" s="32">
        <v>532</v>
      </c>
      <c r="D534" s="32">
        <v>60</v>
      </c>
      <c r="E534" s="32">
        <v>60</v>
      </c>
      <c r="F534" s="32">
        <v>60</v>
      </c>
      <c r="G534" s="32">
        <v>60</v>
      </c>
      <c r="H534" s="32">
        <v>60</v>
      </c>
      <c r="I534" s="32">
        <v>60</v>
      </c>
      <c r="J534" s="32">
        <v>60</v>
      </c>
      <c r="K534" s="32">
        <v>60</v>
      </c>
      <c r="L534" s="32">
        <v>60</v>
      </c>
      <c r="M534" s="39"/>
      <c r="N534" s="43">
        <f t="shared" si="16"/>
        <v>9</v>
      </c>
      <c r="O534" s="33"/>
      <c r="P534" s="32">
        <v>4</v>
      </c>
      <c r="Q534" s="32">
        <v>532</v>
      </c>
      <c r="R534" s="32">
        <v>120</v>
      </c>
      <c r="S534" s="32">
        <v>120</v>
      </c>
      <c r="T534" s="32">
        <v>120</v>
      </c>
      <c r="U534" s="32">
        <v>120</v>
      </c>
      <c r="V534" s="32">
        <v>60</v>
      </c>
      <c r="W534" s="32"/>
      <c r="X534">
        <f t="shared" si="17"/>
        <v>5</v>
      </c>
      <c r="BK534" s="32">
        <v>532</v>
      </c>
      <c r="BL534">
        <v>25</v>
      </c>
      <c r="BM534">
        <v>4.5</v>
      </c>
    </row>
    <row r="535" spans="1:65" x14ac:dyDescent="0.45">
      <c r="A535" s="33"/>
      <c r="B535" s="32">
        <v>5</v>
      </c>
      <c r="C535" s="32">
        <v>533</v>
      </c>
      <c r="D535" s="32">
        <v>60</v>
      </c>
      <c r="E535" s="32">
        <v>60</v>
      </c>
      <c r="F535" s="32">
        <v>60</v>
      </c>
      <c r="G535" s="32">
        <v>60</v>
      </c>
      <c r="H535" s="32">
        <v>60</v>
      </c>
      <c r="I535" s="32">
        <v>60</v>
      </c>
      <c r="J535" s="32">
        <v>60</v>
      </c>
      <c r="K535" s="32">
        <v>60</v>
      </c>
      <c r="L535" s="32">
        <v>60</v>
      </c>
      <c r="M535" s="39"/>
      <c r="N535" s="43">
        <f t="shared" si="16"/>
        <v>9</v>
      </c>
      <c r="O535" s="33"/>
      <c r="P535" s="32">
        <v>5</v>
      </c>
      <c r="Q535" s="32">
        <v>533</v>
      </c>
      <c r="R535" s="32">
        <v>120</v>
      </c>
      <c r="S535" s="32">
        <v>120</v>
      </c>
      <c r="T535" s="32">
        <v>120</v>
      </c>
      <c r="U535" s="32">
        <v>120</v>
      </c>
      <c r="V535" s="32">
        <v>60</v>
      </c>
      <c r="W535" s="32"/>
      <c r="X535">
        <f t="shared" si="17"/>
        <v>5</v>
      </c>
      <c r="BK535" s="32">
        <v>533</v>
      </c>
      <c r="BL535">
        <v>25</v>
      </c>
      <c r="BM535">
        <v>4.5</v>
      </c>
    </row>
    <row r="536" spans="1:65" x14ac:dyDescent="0.45">
      <c r="A536" s="33"/>
      <c r="B536" s="32">
        <v>6</v>
      </c>
      <c r="C536" s="32">
        <v>534</v>
      </c>
      <c r="D536" s="32">
        <v>60</v>
      </c>
      <c r="E536" s="32">
        <v>60</v>
      </c>
      <c r="F536" s="32">
        <v>60</v>
      </c>
      <c r="G536" s="32">
        <v>60</v>
      </c>
      <c r="H536" s="32">
        <v>60</v>
      </c>
      <c r="I536" s="32">
        <v>60</v>
      </c>
      <c r="J536" s="32">
        <v>60</v>
      </c>
      <c r="K536" s="32">
        <v>60</v>
      </c>
      <c r="L536" s="32">
        <v>60</v>
      </c>
      <c r="M536" s="39"/>
      <c r="N536" s="43">
        <f t="shared" si="16"/>
        <v>9</v>
      </c>
      <c r="O536" s="33"/>
      <c r="P536" s="32">
        <v>6</v>
      </c>
      <c r="Q536" s="32">
        <v>534</v>
      </c>
      <c r="R536" s="32">
        <v>120</v>
      </c>
      <c r="S536" s="32">
        <v>120</v>
      </c>
      <c r="T536" s="32">
        <v>120</v>
      </c>
      <c r="U536" s="32">
        <v>120</v>
      </c>
      <c r="V536" s="32">
        <v>60</v>
      </c>
      <c r="W536" s="32"/>
      <c r="X536">
        <f t="shared" si="17"/>
        <v>5</v>
      </c>
      <c r="BK536" s="32">
        <v>534</v>
      </c>
      <c r="BL536">
        <v>25</v>
      </c>
      <c r="BM536">
        <v>4.5</v>
      </c>
    </row>
    <row r="537" spans="1:65" x14ac:dyDescent="0.45">
      <c r="A537" s="33"/>
      <c r="B537" s="32">
        <v>7</v>
      </c>
      <c r="C537" s="32">
        <v>535</v>
      </c>
      <c r="D537" s="32">
        <v>60</v>
      </c>
      <c r="E537" s="32">
        <v>60</v>
      </c>
      <c r="F537" s="32">
        <v>60</v>
      </c>
      <c r="G537" s="32">
        <v>60</v>
      </c>
      <c r="H537" s="32">
        <v>60</v>
      </c>
      <c r="I537" s="32">
        <v>60</v>
      </c>
      <c r="J537" s="32">
        <v>60</v>
      </c>
      <c r="K537" s="32">
        <v>60</v>
      </c>
      <c r="L537" s="32">
        <v>60</v>
      </c>
      <c r="M537" s="39"/>
      <c r="N537" s="43">
        <f t="shared" si="16"/>
        <v>9</v>
      </c>
      <c r="O537" s="33"/>
      <c r="P537" s="32">
        <v>7</v>
      </c>
      <c r="Q537" s="32">
        <v>535</v>
      </c>
      <c r="R537" s="32">
        <v>120</v>
      </c>
      <c r="S537" s="32">
        <v>120</v>
      </c>
      <c r="T537" s="32">
        <v>120</v>
      </c>
      <c r="U537" s="32">
        <v>120</v>
      </c>
      <c r="V537" s="32">
        <v>60</v>
      </c>
      <c r="W537" s="32"/>
      <c r="X537">
        <f t="shared" si="17"/>
        <v>5</v>
      </c>
      <c r="BK537" s="32">
        <v>535</v>
      </c>
      <c r="BL537">
        <v>25</v>
      </c>
      <c r="BM537">
        <v>4.5</v>
      </c>
    </row>
    <row r="538" spans="1:65" x14ac:dyDescent="0.45">
      <c r="A538" s="33"/>
      <c r="B538" s="32">
        <v>8</v>
      </c>
      <c r="C538" s="32">
        <v>536</v>
      </c>
      <c r="D538" s="32">
        <v>60</v>
      </c>
      <c r="E538" s="32">
        <v>60</v>
      </c>
      <c r="F538" s="32">
        <v>60</v>
      </c>
      <c r="G538" s="32">
        <v>60</v>
      </c>
      <c r="H538" s="32">
        <v>60</v>
      </c>
      <c r="I538" s="32">
        <v>60</v>
      </c>
      <c r="J538" s="32">
        <v>60</v>
      </c>
      <c r="K538" s="32">
        <v>60</v>
      </c>
      <c r="L538" s="32">
        <v>60</v>
      </c>
      <c r="M538" s="39"/>
      <c r="N538" s="43">
        <f t="shared" si="16"/>
        <v>9</v>
      </c>
      <c r="O538" s="33"/>
      <c r="P538" s="32">
        <v>8</v>
      </c>
      <c r="Q538" s="32">
        <v>536</v>
      </c>
      <c r="R538" s="32">
        <v>120</v>
      </c>
      <c r="S538" s="32">
        <v>120</v>
      </c>
      <c r="T538" s="32">
        <v>120</v>
      </c>
      <c r="U538" s="32">
        <v>120</v>
      </c>
      <c r="V538" s="32">
        <v>60</v>
      </c>
      <c r="W538" s="32"/>
      <c r="X538">
        <f t="shared" si="17"/>
        <v>5</v>
      </c>
      <c r="BK538" s="32">
        <v>536</v>
      </c>
      <c r="BL538">
        <v>25</v>
      </c>
      <c r="BM538">
        <v>4.5</v>
      </c>
    </row>
    <row r="539" spans="1:65" x14ac:dyDescent="0.45">
      <c r="A539" s="33"/>
      <c r="B539" s="32">
        <v>9</v>
      </c>
      <c r="C539" s="32">
        <v>537</v>
      </c>
      <c r="D539" s="32">
        <v>60</v>
      </c>
      <c r="E539" s="32">
        <v>60</v>
      </c>
      <c r="F539" s="32">
        <v>60</v>
      </c>
      <c r="G539" s="32">
        <v>60</v>
      </c>
      <c r="H539" s="32">
        <v>60</v>
      </c>
      <c r="I539" s="32">
        <v>60</v>
      </c>
      <c r="J539" s="32">
        <v>60</v>
      </c>
      <c r="K539" s="32">
        <v>60</v>
      </c>
      <c r="L539" s="32">
        <v>60</v>
      </c>
      <c r="M539" s="39"/>
      <c r="N539" s="43">
        <f t="shared" si="16"/>
        <v>9</v>
      </c>
      <c r="O539" s="33"/>
      <c r="P539" s="32">
        <v>9</v>
      </c>
      <c r="Q539" s="32">
        <v>537</v>
      </c>
      <c r="R539" s="32">
        <v>120</v>
      </c>
      <c r="S539" s="32">
        <v>120</v>
      </c>
      <c r="T539" s="32">
        <v>120</v>
      </c>
      <c r="U539" s="32">
        <v>120</v>
      </c>
      <c r="V539" s="32">
        <v>60</v>
      </c>
      <c r="W539" s="32"/>
      <c r="X539">
        <f t="shared" si="17"/>
        <v>5</v>
      </c>
      <c r="BK539" s="32">
        <v>537</v>
      </c>
      <c r="BL539">
        <v>25</v>
      </c>
      <c r="BM539">
        <v>4.5</v>
      </c>
    </row>
    <row r="540" spans="1:65" x14ac:dyDescent="0.45">
      <c r="A540" s="33"/>
      <c r="B540" s="32">
        <v>10</v>
      </c>
      <c r="C540" s="32">
        <v>538</v>
      </c>
      <c r="D540" s="32">
        <v>60</v>
      </c>
      <c r="E540" s="32">
        <v>60</v>
      </c>
      <c r="F540" s="32">
        <v>60</v>
      </c>
      <c r="G540" s="32">
        <v>60</v>
      </c>
      <c r="H540" s="32">
        <v>60</v>
      </c>
      <c r="I540" s="32">
        <v>60</v>
      </c>
      <c r="J540" s="32">
        <v>60</v>
      </c>
      <c r="K540" s="32">
        <v>60</v>
      </c>
      <c r="L540" s="32">
        <v>60</v>
      </c>
      <c r="M540" s="39"/>
      <c r="N540" s="43">
        <f t="shared" si="16"/>
        <v>9</v>
      </c>
      <c r="O540" s="33"/>
      <c r="P540" s="32">
        <v>10</v>
      </c>
      <c r="Q540" s="32">
        <v>538</v>
      </c>
      <c r="R540" s="32">
        <v>120</v>
      </c>
      <c r="S540" s="32">
        <v>120</v>
      </c>
      <c r="T540" s="32">
        <v>120</v>
      </c>
      <c r="U540" s="32">
        <v>120</v>
      </c>
      <c r="V540" s="32">
        <v>60</v>
      </c>
      <c r="W540" s="32"/>
      <c r="X540">
        <f t="shared" si="17"/>
        <v>5</v>
      </c>
      <c r="BK540" s="32">
        <v>538</v>
      </c>
      <c r="BL540">
        <v>25</v>
      </c>
      <c r="BM540">
        <v>4.5</v>
      </c>
    </row>
    <row r="541" spans="1:65" x14ac:dyDescent="0.45">
      <c r="A541" s="33"/>
      <c r="B541" s="32">
        <v>11</v>
      </c>
      <c r="C541" s="32">
        <v>539</v>
      </c>
      <c r="D541" s="32">
        <v>60</v>
      </c>
      <c r="E541" s="32">
        <v>60</v>
      </c>
      <c r="F541" s="32">
        <v>60</v>
      </c>
      <c r="G541" s="32">
        <v>60</v>
      </c>
      <c r="H541" s="32">
        <v>60</v>
      </c>
      <c r="I541" s="32">
        <v>60</v>
      </c>
      <c r="J541" s="32">
        <v>60</v>
      </c>
      <c r="K541" s="32">
        <v>60</v>
      </c>
      <c r="L541" s="32">
        <v>60</v>
      </c>
      <c r="M541" s="39"/>
      <c r="N541" s="43">
        <f t="shared" si="16"/>
        <v>9</v>
      </c>
      <c r="O541" s="33"/>
      <c r="P541" s="32">
        <v>11</v>
      </c>
      <c r="Q541" s="32">
        <v>539</v>
      </c>
      <c r="R541" s="32">
        <v>120</v>
      </c>
      <c r="S541" s="32">
        <v>120</v>
      </c>
      <c r="T541" s="32">
        <v>120</v>
      </c>
      <c r="U541" s="32">
        <v>120</v>
      </c>
      <c r="V541" s="32">
        <v>60</v>
      </c>
      <c r="W541" s="32"/>
      <c r="X541">
        <f t="shared" si="17"/>
        <v>5</v>
      </c>
      <c r="BK541" s="32">
        <v>539</v>
      </c>
      <c r="BL541">
        <v>25</v>
      </c>
      <c r="BM541">
        <v>4.5</v>
      </c>
    </row>
    <row r="542" spans="1:65" x14ac:dyDescent="0.45">
      <c r="A542" s="33">
        <v>45</v>
      </c>
      <c r="B542" s="32"/>
      <c r="C542" s="32">
        <v>540</v>
      </c>
      <c r="D542" s="32">
        <v>60</v>
      </c>
      <c r="E542" s="32">
        <v>60</v>
      </c>
      <c r="F542" s="32">
        <v>60</v>
      </c>
      <c r="G542" s="32">
        <v>60</v>
      </c>
      <c r="H542" s="32">
        <v>60</v>
      </c>
      <c r="I542" s="32">
        <v>60</v>
      </c>
      <c r="J542" s="32">
        <v>60</v>
      </c>
      <c r="K542" s="32">
        <v>60</v>
      </c>
      <c r="L542" s="32">
        <v>60</v>
      </c>
      <c r="M542" s="39"/>
      <c r="N542" s="43">
        <f t="shared" si="16"/>
        <v>9</v>
      </c>
      <c r="O542" s="33">
        <v>45</v>
      </c>
      <c r="P542" s="32"/>
      <c r="Q542" s="32">
        <v>540</v>
      </c>
      <c r="R542" s="32">
        <v>120</v>
      </c>
      <c r="S542" s="32">
        <v>120</v>
      </c>
      <c r="T542" s="32">
        <v>120</v>
      </c>
      <c r="U542" s="32">
        <v>120</v>
      </c>
      <c r="V542" s="32">
        <v>60</v>
      </c>
      <c r="W542" s="32"/>
      <c r="X542">
        <f t="shared" si="17"/>
        <v>5</v>
      </c>
      <c r="BK542" s="32">
        <v>540</v>
      </c>
      <c r="BL542">
        <v>25</v>
      </c>
      <c r="BM542">
        <v>5</v>
      </c>
    </row>
    <row r="543" spans="1:65" x14ac:dyDescent="0.45">
      <c r="A543" s="33"/>
      <c r="B543" s="32">
        <v>1</v>
      </c>
      <c r="C543" s="32">
        <v>541</v>
      </c>
      <c r="D543" s="32">
        <v>60</v>
      </c>
      <c r="E543" s="32">
        <v>60</v>
      </c>
      <c r="F543" s="32">
        <v>60</v>
      </c>
      <c r="G543" s="32">
        <v>60</v>
      </c>
      <c r="H543" s="32">
        <v>60</v>
      </c>
      <c r="I543" s="32">
        <v>60</v>
      </c>
      <c r="J543" s="32">
        <v>48</v>
      </c>
      <c r="K543" s="32">
        <v>48</v>
      </c>
      <c r="L543" s="32">
        <v>48</v>
      </c>
      <c r="M543" s="39">
        <v>48</v>
      </c>
      <c r="N543" s="43">
        <f t="shared" si="16"/>
        <v>10</v>
      </c>
      <c r="O543" s="33"/>
      <c r="P543" s="32">
        <v>1</v>
      </c>
      <c r="Q543" s="32">
        <v>541</v>
      </c>
      <c r="R543" s="32">
        <v>120</v>
      </c>
      <c r="S543" s="32">
        <v>120</v>
      </c>
      <c r="T543" s="32">
        <v>120</v>
      </c>
      <c r="U543" s="32">
        <v>96</v>
      </c>
      <c r="V543" s="32">
        <v>96</v>
      </c>
      <c r="W543" s="32"/>
      <c r="X543">
        <f t="shared" si="17"/>
        <v>5</v>
      </c>
      <c r="BK543" s="32">
        <v>541</v>
      </c>
      <c r="BL543">
        <v>25</v>
      </c>
      <c r="BM543">
        <v>5</v>
      </c>
    </row>
    <row r="544" spans="1:65" x14ac:dyDescent="0.45">
      <c r="A544" s="33"/>
      <c r="B544" s="32">
        <v>2</v>
      </c>
      <c r="C544" s="32">
        <v>542</v>
      </c>
      <c r="D544" s="32">
        <v>60</v>
      </c>
      <c r="E544" s="32">
        <v>60</v>
      </c>
      <c r="F544" s="32">
        <v>60</v>
      </c>
      <c r="G544" s="32">
        <v>60</v>
      </c>
      <c r="H544" s="32">
        <v>60</v>
      </c>
      <c r="I544" s="32">
        <v>60</v>
      </c>
      <c r="J544" s="32">
        <v>48</v>
      </c>
      <c r="K544" s="32">
        <v>48</v>
      </c>
      <c r="L544" s="32">
        <v>48</v>
      </c>
      <c r="M544" s="39">
        <v>48</v>
      </c>
      <c r="N544" s="43">
        <f t="shared" si="16"/>
        <v>10</v>
      </c>
      <c r="O544" s="33"/>
      <c r="P544" s="32">
        <v>2</v>
      </c>
      <c r="Q544" s="32">
        <v>542</v>
      </c>
      <c r="R544" s="32">
        <v>120</v>
      </c>
      <c r="S544" s="32">
        <v>120</v>
      </c>
      <c r="T544" s="32">
        <v>120</v>
      </c>
      <c r="U544" s="32">
        <v>96</v>
      </c>
      <c r="V544" s="32">
        <v>96</v>
      </c>
      <c r="W544" s="32"/>
      <c r="X544">
        <f t="shared" si="17"/>
        <v>5</v>
      </c>
      <c r="BK544" s="32">
        <v>542</v>
      </c>
      <c r="BL544">
        <v>25</v>
      </c>
      <c r="BM544">
        <v>5</v>
      </c>
    </row>
    <row r="545" spans="1:65" x14ac:dyDescent="0.45">
      <c r="A545" s="33"/>
      <c r="B545" s="32">
        <v>3</v>
      </c>
      <c r="C545" s="32">
        <v>543</v>
      </c>
      <c r="D545" s="32">
        <v>60</v>
      </c>
      <c r="E545" s="32">
        <v>60</v>
      </c>
      <c r="F545" s="32">
        <v>60</v>
      </c>
      <c r="G545" s="32">
        <v>60</v>
      </c>
      <c r="H545" s="32">
        <v>60</v>
      </c>
      <c r="I545" s="32">
        <v>60</v>
      </c>
      <c r="J545" s="32">
        <v>48</v>
      </c>
      <c r="K545" s="32">
        <v>48</v>
      </c>
      <c r="L545" s="32">
        <v>48</v>
      </c>
      <c r="M545" s="39">
        <v>48</v>
      </c>
      <c r="N545" s="43">
        <f t="shared" si="16"/>
        <v>10</v>
      </c>
      <c r="O545" s="33"/>
      <c r="P545" s="32">
        <v>3</v>
      </c>
      <c r="Q545" s="32">
        <v>543</v>
      </c>
      <c r="R545" s="32">
        <v>120</v>
      </c>
      <c r="S545" s="32">
        <v>120</v>
      </c>
      <c r="T545" s="32">
        <v>120</v>
      </c>
      <c r="U545" s="32">
        <v>96</v>
      </c>
      <c r="V545" s="32">
        <v>96</v>
      </c>
      <c r="W545" s="32"/>
      <c r="X545">
        <f t="shared" si="17"/>
        <v>5</v>
      </c>
      <c r="BK545" s="32">
        <v>543</v>
      </c>
      <c r="BL545">
        <v>25</v>
      </c>
      <c r="BM545">
        <v>5</v>
      </c>
    </row>
    <row r="546" spans="1:65" x14ac:dyDescent="0.45">
      <c r="A546" s="33"/>
      <c r="B546" s="32">
        <v>4</v>
      </c>
      <c r="C546" s="32">
        <v>544</v>
      </c>
      <c r="D546" s="32">
        <v>60</v>
      </c>
      <c r="E546" s="32">
        <v>60</v>
      </c>
      <c r="F546" s="32">
        <v>60</v>
      </c>
      <c r="G546" s="32">
        <v>60</v>
      </c>
      <c r="H546" s="32">
        <v>60</v>
      </c>
      <c r="I546" s="32">
        <v>60</v>
      </c>
      <c r="J546" s="32">
        <v>48</v>
      </c>
      <c r="K546" s="32">
        <v>48</v>
      </c>
      <c r="L546" s="32">
        <v>48</v>
      </c>
      <c r="M546" s="39">
        <v>48</v>
      </c>
      <c r="N546" s="43">
        <f t="shared" si="16"/>
        <v>10</v>
      </c>
      <c r="O546" s="33"/>
      <c r="P546" s="32">
        <v>4</v>
      </c>
      <c r="Q546" s="32">
        <v>544</v>
      </c>
      <c r="R546" s="32">
        <v>120</v>
      </c>
      <c r="S546" s="32">
        <v>120</v>
      </c>
      <c r="T546" s="32">
        <v>120</v>
      </c>
      <c r="U546" s="32">
        <v>96</v>
      </c>
      <c r="V546" s="32">
        <v>96</v>
      </c>
      <c r="W546" s="32"/>
      <c r="X546">
        <f t="shared" si="17"/>
        <v>5</v>
      </c>
      <c r="BK546" s="32">
        <v>544</v>
      </c>
      <c r="BL546">
        <v>25</v>
      </c>
      <c r="BM546">
        <v>5</v>
      </c>
    </row>
    <row r="547" spans="1:65" x14ac:dyDescent="0.45">
      <c r="A547" s="33"/>
      <c r="B547" s="32">
        <v>5</v>
      </c>
      <c r="C547" s="32">
        <v>545</v>
      </c>
      <c r="D547" s="32">
        <v>60</v>
      </c>
      <c r="E547" s="32">
        <v>60</v>
      </c>
      <c r="F547" s="32">
        <v>60</v>
      </c>
      <c r="G547" s="32">
        <v>60</v>
      </c>
      <c r="H547" s="32">
        <v>60</v>
      </c>
      <c r="I547" s="32">
        <v>60</v>
      </c>
      <c r="J547" s="32">
        <v>48</v>
      </c>
      <c r="K547" s="32">
        <v>48</v>
      </c>
      <c r="L547" s="32">
        <v>48</v>
      </c>
      <c r="M547" s="39">
        <v>48</v>
      </c>
      <c r="N547" s="43">
        <f t="shared" si="16"/>
        <v>10</v>
      </c>
      <c r="O547" s="33"/>
      <c r="P547" s="32">
        <v>5</v>
      </c>
      <c r="Q547" s="32">
        <v>545</v>
      </c>
      <c r="R547" s="32">
        <v>120</v>
      </c>
      <c r="S547" s="32">
        <v>120</v>
      </c>
      <c r="T547" s="32">
        <v>120</v>
      </c>
      <c r="U547" s="32">
        <v>96</v>
      </c>
      <c r="V547" s="32">
        <v>96</v>
      </c>
      <c r="W547" s="32"/>
      <c r="X547">
        <f t="shared" si="17"/>
        <v>5</v>
      </c>
      <c r="BK547" s="32">
        <v>545</v>
      </c>
      <c r="BL547">
        <v>25</v>
      </c>
      <c r="BM547">
        <v>5</v>
      </c>
    </row>
    <row r="548" spans="1:65" x14ac:dyDescent="0.45">
      <c r="A548" s="33"/>
      <c r="B548" s="32">
        <v>6</v>
      </c>
      <c r="C548" s="32">
        <v>546</v>
      </c>
      <c r="D548" s="32">
        <v>60</v>
      </c>
      <c r="E548" s="32">
        <v>60</v>
      </c>
      <c r="F548" s="32">
        <v>60</v>
      </c>
      <c r="G548" s="32">
        <v>60</v>
      </c>
      <c r="H548" s="32">
        <v>60</v>
      </c>
      <c r="I548" s="32">
        <v>60</v>
      </c>
      <c r="J548" s="32">
        <v>48</v>
      </c>
      <c r="K548" s="32">
        <v>48</v>
      </c>
      <c r="L548" s="32">
        <v>48</v>
      </c>
      <c r="M548" s="39">
        <v>48</v>
      </c>
      <c r="N548" s="43">
        <f t="shared" si="16"/>
        <v>10</v>
      </c>
      <c r="O548" s="33"/>
      <c r="P548" s="32">
        <v>6</v>
      </c>
      <c r="Q548" s="32">
        <v>546</v>
      </c>
      <c r="R548" s="32">
        <v>120</v>
      </c>
      <c r="S548" s="32">
        <v>120</v>
      </c>
      <c r="T548" s="32">
        <v>120</v>
      </c>
      <c r="U548" s="32">
        <v>96</v>
      </c>
      <c r="V548" s="32">
        <v>96</v>
      </c>
      <c r="W548" s="32"/>
      <c r="X548">
        <f t="shared" si="17"/>
        <v>5</v>
      </c>
      <c r="BK548" s="32">
        <v>546</v>
      </c>
      <c r="BL548">
        <v>25</v>
      </c>
      <c r="BM548">
        <v>5</v>
      </c>
    </row>
    <row r="549" spans="1:65" x14ac:dyDescent="0.45">
      <c r="A549" s="33"/>
      <c r="B549" s="32">
        <v>7</v>
      </c>
      <c r="C549" s="32">
        <v>547</v>
      </c>
      <c r="D549" s="32">
        <v>60</v>
      </c>
      <c r="E549" s="32">
        <v>60</v>
      </c>
      <c r="F549" s="32">
        <v>60</v>
      </c>
      <c r="G549" s="32">
        <v>60</v>
      </c>
      <c r="H549" s="32">
        <v>60</v>
      </c>
      <c r="I549" s="32">
        <v>60</v>
      </c>
      <c r="J549" s="32">
        <v>48</v>
      </c>
      <c r="K549" s="32">
        <v>48</v>
      </c>
      <c r="L549" s="32">
        <v>48</v>
      </c>
      <c r="M549" s="39">
        <v>48</v>
      </c>
      <c r="N549" s="43">
        <f t="shared" si="16"/>
        <v>10</v>
      </c>
      <c r="O549" s="33"/>
      <c r="P549" s="32">
        <v>7</v>
      </c>
      <c r="Q549" s="32">
        <v>547</v>
      </c>
      <c r="R549" s="32">
        <v>120</v>
      </c>
      <c r="S549" s="32">
        <v>120</v>
      </c>
      <c r="T549" s="32">
        <v>120</v>
      </c>
      <c r="U549" s="32">
        <v>96</v>
      </c>
      <c r="V549" s="32">
        <v>96</v>
      </c>
      <c r="W549" s="32"/>
      <c r="X549">
        <f t="shared" si="17"/>
        <v>5</v>
      </c>
      <c r="BK549" s="32">
        <v>547</v>
      </c>
      <c r="BL549">
        <v>25</v>
      </c>
      <c r="BM549">
        <v>5</v>
      </c>
    </row>
    <row r="550" spans="1:65" x14ac:dyDescent="0.45">
      <c r="A550" s="33"/>
      <c r="B550" s="32">
        <v>8</v>
      </c>
      <c r="C550" s="32">
        <v>548</v>
      </c>
      <c r="D550" s="32">
        <v>60</v>
      </c>
      <c r="E550" s="32">
        <v>60</v>
      </c>
      <c r="F550" s="32">
        <v>60</v>
      </c>
      <c r="G550" s="32">
        <v>60</v>
      </c>
      <c r="H550" s="32">
        <v>60</v>
      </c>
      <c r="I550" s="32">
        <v>60</v>
      </c>
      <c r="J550" s="32">
        <v>48</v>
      </c>
      <c r="K550" s="32">
        <v>48</v>
      </c>
      <c r="L550" s="32">
        <v>48</v>
      </c>
      <c r="M550" s="39">
        <v>48</v>
      </c>
      <c r="N550" s="43">
        <f t="shared" si="16"/>
        <v>10</v>
      </c>
      <c r="O550" s="33"/>
      <c r="P550" s="32">
        <v>8</v>
      </c>
      <c r="Q550" s="32">
        <v>548</v>
      </c>
      <c r="R550" s="32">
        <v>120</v>
      </c>
      <c r="S550" s="32">
        <v>120</v>
      </c>
      <c r="T550" s="32">
        <v>120</v>
      </c>
      <c r="U550" s="32">
        <v>96</v>
      </c>
      <c r="V550" s="32">
        <v>96</v>
      </c>
      <c r="W550" s="32"/>
      <c r="X550">
        <f t="shared" si="17"/>
        <v>5</v>
      </c>
      <c r="BK550" s="32">
        <v>548</v>
      </c>
      <c r="BL550">
        <v>25</v>
      </c>
      <c r="BM550">
        <v>5</v>
      </c>
    </row>
    <row r="551" spans="1:65" x14ac:dyDescent="0.45">
      <c r="A551" s="33"/>
      <c r="B551" s="32">
        <v>9</v>
      </c>
      <c r="C551" s="32">
        <v>549</v>
      </c>
      <c r="D551" s="32">
        <v>60</v>
      </c>
      <c r="E551" s="32">
        <v>60</v>
      </c>
      <c r="F551" s="32">
        <v>60</v>
      </c>
      <c r="G551" s="32">
        <v>60</v>
      </c>
      <c r="H551" s="32">
        <v>60</v>
      </c>
      <c r="I551" s="32">
        <v>60</v>
      </c>
      <c r="J551" s="32">
        <v>48</v>
      </c>
      <c r="K551" s="32">
        <v>48</v>
      </c>
      <c r="L551" s="32">
        <v>48</v>
      </c>
      <c r="M551" s="39">
        <v>48</v>
      </c>
      <c r="N551" s="43">
        <f t="shared" si="16"/>
        <v>10</v>
      </c>
      <c r="O551" s="33"/>
      <c r="P551" s="32">
        <v>9</v>
      </c>
      <c r="Q551" s="32">
        <v>549</v>
      </c>
      <c r="R551" s="32">
        <v>120</v>
      </c>
      <c r="S551" s="32">
        <v>120</v>
      </c>
      <c r="T551" s="32">
        <v>120</v>
      </c>
      <c r="U551" s="32">
        <v>96</v>
      </c>
      <c r="V551" s="32">
        <v>96</v>
      </c>
      <c r="W551" s="32"/>
      <c r="X551">
        <f t="shared" si="17"/>
        <v>5</v>
      </c>
      <c r="BK551" s="32">
        <v>549</v>
      </c>
      <c r="BL551">
        <v>25</v>
      </c>
      <c r="BM551">
        <v>5</v>
      </c>
    </row>
    <row r="552" spans="1:65" x14ac:dyDescent="0.45">
      <c r="A552" s="33"/>
      <c r="B552" s="32">
        <v>10</v>
      </c>
      <c r="C552" s="32">
        <v>550</v>
      </c>
      <c r="D552" s="32">
        <v>60</v>
      </c>
      <c r="E552" s="32">
        <v>60</v>
      </c>
      <c r="F552" s="32">
        <v>60</v>
      </c>
      <c r="G552" s="32">
        <v>60</v>
      </c>
      <c r="H552" s="32">
        <v>60</v>
      </c>
      <c r="I552" s="32">
        <v>60</v>
      </c>
      <c r="J552" s="32">
        <v>48</v>
      </c>
      <c r="K552" s="32">
        <v>48</v>
      </c>
      <c r="L552" s="32">
        <v>48</v>
      </c>
      <c r="M552" s="39">
        <v>48</v>
      </c>
      <c r="N552" s="43">
        <f t="shared" si="16"/>
        <v>10</v>
      </c>
      <c r="O552" s="33"/>
      <c r="P552" s="32">
        <v>10</v>
      </c>
      <c r="Q552" s="32">
        <v>550</v>
      </c>
      <c r="R552" s="32">
        <v>120</v>
      </c>
      <c r="S552" s="32">
        <v>120</v>
      </c>
      <c r="T552" s="32">
        <v>120</v>
      </c>
      <c r="U552" s="32">
        <v>96</v>
      </c>
      <c r="V552" s="32">
        <v>96</v>
      </c>
      <c r="W552" s="32"/>
      <c r="X552">
        <f t="shared" si="17"/>
        <v>5</v>
      </c>
      <c r="BK552" s="32">
        <v>550</v>
      </c>
      <c r="BL552">
        <v>25</v>
      </c>
      <c r="BM552">
        <v>5</v>
      </c>
    </row>
    <row r="553" spans="1:65" x14ac:dyDescent="0.45">
      <c r="A553" s="33"/>
      <c r="B553" s="32">
        <v>11</v>
      </c>
      <c r="C553" s="32">
        <v>551</v>
      </c>
      <c r="D553" s="32">
        <v>60</v>
      </c>
      <c r="E553" s="32">
        <v>60</v>
      </c>
      <c r="F553" s="32">
        <v>60</v>
      </c>
      <c r="G553" s="32">
        <v>60</v>
      </c>
      <c r="H553" s="32">
        <v>60</v>
      </c>
      <c r="I553" s="32">
        <v>60</v>
      </c>
      <c r="J553" s="32">
        <v>48</v>
      </c>
      <c r="K553" s="32">
        <v>48</v>
      </c>
      <c r="L553" s="32">
        <v>48</v>
      </c>
      <c r="M553" s="39">
        <v>48</v>
      </c>
      <c r="N553" s="43">
        <f t="shared" si="16"/>
        <v>10</v>
      </c>
      <c r="O553" s="33"/>
      <c r="P553" s="32">
        <v>11</v>
      </c>
      <c r="Q553" s="32">
        <v>551</v>
      </c>
      <c r="R553" s="32">
        <v>120</v>
      </c>
      <c r="S553" s="32">
        <v>120</v>
      </c>
      <c r="T553" s="32">
        <v>120</v>
      </c>
      <c r="U553" s="32">
        <v>96</v>
      </c>
      <c r="V553" s="32">
        <v>96</v>
      </c>
      <c r="W553" s="32"/>
      <c r="X553">
        <f t="shared" si="17"/>
        <v>5</v>
      </c>
      <c r="BK553" s="32">
        <v>551</v>
      </c>
      <c r="BL553">
        <v>25</v>
      </c>
      <c r="BM553">
        <v>5</v>
      </c>
    </row>
    <row r="554" spans="1:65" x14ac:dyDescent="0.45">
      <c r="A554" s="33">
        <v>46</v>
      </c>
      <c r="B554" s="32"/>
      <c r="C554" s="32">
        <v>552</v>
      </c>
      <c r="D554" s="32">
        <v>60</v>
      </c>
      <c r="E554" s="32">
        <v>60</v>
      </c>
      <c r="F554" s="32">
        <v>60</v>
      </c>
      <c r="G554" s="32">
        <v>60</v>
      </c>
      <c r="H554" s="32">
        <v>60</v>
      </c>
      <c r="I554" s="32">
        <v>60</v>
      </c>
      <c r="J554" s="32">
        <v>48</v>
      </c>
      <c r="K554" s="32">
        <v>48</v>
      </c>
      <c r="L554" s="32">
        <v>48</v>
      </c>
      <c r="M554" s="39">
        <v>48</v>
      </c>
      <c r="N554" s="43">
        <f t="shared" si="16"/>
        <v>10</v>
      </c>
      <c r="O554" s="33">
        <v>46</v>
      </c>
      <c r="P554" s="32"/>
      <c r="Q554" s="32">
        <v>552</v>
      </c>
      <c r="R554" s="32">
        <v>120</v>
      </c>
      <c r="S554" s="32">
        <v>120</v>
      </c>
      <c r="T554" s="32">
        <v>120</v>
      </c>
      <c r="U554" s="32">
        <v>96</v>
      </c>
      <c r="V554" s="32">
        <v>96</v>
      </c>
      <c r="W554" s="32"/>
      <c r="X554">
        <f t="shared" si="17"/>
        <v>5</v>
      </c>
      <c r="BK554" s="32">
        <v>552</v>
      </c>
      <c r="BL554">
        <v>25</v>
      </c>
      <c r="BM554">
        <v>5</v>
      </c>
    </row>
    <row r="555" spans="1:65" x14ac:dyDescent="0.45">
      <c r="A555" s="33"/>
      <c r="B555" s="32">
        <v>1</v>
      </c>
      <c r="C555" s="32">
        <v>553</v>
      </c>
      <c r="D555" s="32">
        <v>60</v>
      </c>
      <c r="E555" s="32">
        <v>60</v>
      </c>
      <c r="F555" s="32">
        <v>60</v>
      </c>
      <c r="G555" s="32">
        <v>60</v>
      </c>
      <c r="H555" s="32">
        <v>60</v>
      </c>
      <c r="I555" s="32">
        <v>60</v>
      </c>
      <c r="J555" s="32">
        <v>60</v>
      </c>
      <c r="K555" s="32">
        <v>48</v>
      </c>
      <c r="L555" s="32">
        <v>48</v>
      </c>
      <c r="M555" s="39">
        <v>48</v>
      </c>
      <c r="N555" s="43">
        <f t="shared" si="16"/>
        <v>10</v>
      </c>
      <c r="O555" s="33"/>
      <c r="P555" s="32">
        <v>1</v>
      </c>
      <c r="Q555" s="32">
        <v>553</v>
      </c>
      <c r="R555" s="32">
        <v>120</v>
      </c>
      <c r="S555" s="32">
        <v>120</v>
      </c>
      <c r="T555" s="32">
        <v>120</v>
      </c>
      <c r="U555" s="32">
        <v>96</v>
      </c>
      <c r="V555" s="32">
        <v>60</v>
      </c>
      <c r="W555" s="32">
        <v>48</v>
      </c>
      <c r="X555">
        <f t="shared" si="17"/>
        <v>6</v>
      </c>
      <c r="BK555" s="32">
        <v>553</v>
      </c>
      <c r="BL555">
        <v>25</v>
      </c>
      <c r="BM555">
        <v>5</v>
      </c>
    </row>
    <row r="556" spans="1:65" x14ac:dyDescent="0.45">
      <c r="A556" s="33"/>
      <c r="B556" s="32">
        <v>2</v>
      </c>
      <c r="C556" s="32">
        <v>554</v>
      </c>
      <c r="D556" s="32">
        <v>60</v>
      </c>
      <c r="E556" s="32">
        <v>60</v>
      </c>
      <c r="F556" s="32">
        <v>60</v>
      </c>
      <c r="G556" s="32">
        <v>60</v>
      </c>
      <c r="H556" s="32">
        <v>60</v>
      </c>
      <c r="I556" s="32">
        <v>60</v>
      </c>
      <c r="J556" s="32">
        <v>60</v>
      </c>
      <c r="K556" s="32">
        <v>48</v>
      </c>
      <c r="L556" s="32">
        <v>48</v>
      </c>
      <c r="M556" s="39">
        <v>48</v>
      </c>
      <c r="N556" s="43">
        <f t="shared" si="16"/>
        <v>10</v>
      </c>
      <c r="O556" s="33"/>
      <c r="P556" s="32">
        <v>2</v>
      </c>
      <c r="Q556" s="32">
        <v>554</v>
      </c>
      <c r="R556" s="32">
        <v>120</v>
      </c>
      <c r="S556" s="32">
        <v>120</v>
      </c>
      <c r="T556" s="32">
        <v>120</v>
      </c>
      <c r="U556" s="32">
        <v>96</v>
      </c>
      <c r="V556" s="32">
        <v>60</v>
      </c>
      <c r="W556" s="32">
        <v>48</v>
      </c>
      <c r="X556">
        <f t="shared" si="17"/>
        <v>6</v>
      </c>
      <c r="BK556" s="32">
        <v>554</v>
      </c>
      <c r="BL556">
        <v>25</v>
      </c>
      <c r="BM556">
        <v>5</v>
      </c>
    </row>
    <row r="557" spans="1:65" x14ac:dyDescent="0.45">
      <c r="A557" s="33"/>
      <c r="B557" s="32">
        <v>3</v>
      </c>
      <c r="C557" s="32">
        <v>555</v>
      </c>
      <c r="D557" s="32">
        <v>60</v>
      </c>
      <c r="E557" s="32">
        <v>60</v>
      </c>
      <c r="F557" s="32">
        <v>60</v>
      </c>
      <c r="G557" s="32">
        <v>60</v>
      </c>
      <c r="H557" s="32">
        <v>60</v>
      </c>
      <c r="I557" s="32">
        <v>60</v>
      </c>
      <c r="J557" s="32">
        <v>60</v>
      </c>
      <c r="K557" s="32">
        <v>48</v>
      </c>
      <c r="L557" s="32">
        <v>48</v>
      </c>
      <c r="M557" s="39">
        <v>48</v>
      </c>
      <c r="N557" s="43">
        <f t="shared" si="16"/>
        <v>10</v>
      </c>
      <c r="O557" s="33"/>
      <c r="P557" s="32">
        <v>3</v>
      </c>
      <c r="Q557" s="32">
        <v>555</v>
      </c>
      <c r="R557" s="32">
        <v>120</v>
      </c>
      <c r="S557" s="32">
        <v>120</v>
      </c>
      <c r="T557" s="32">
        <v>120</v>
      </c>
      <c r="U557" s="32">
        <v>96</v>
      </c>
      <c r="V557" s="32">
        <v>60</v>
      </c>
      <c r="W557" s="32">
        <v>48</v>
      </c>
      <c r="X557">
        <f t="shared" si="17"/>
        <v>6</v>
      </c>
      <c r="BK557" s="32">
        <v>555</v>
      </c>
      <c r="BL557">
        <v>25</v>
      </c>
      <c r="BM557">
        <v>5</v>
      </c>
    </row>
    <row r="558" spans="1:65" x14ac:dyDescent="0.45">
      <c r="A558" s="33"/>
      <c r="B558" s="32">
        <v>4</v>
      </c>
      <c r="C558" s="32">
        <v>556</v>
      </c>
      <c r="D558" s="32">
        <v>60</v>
      </c>
      <c r="E558" s="32">
        <v>60</v>
      </c>
      <c r="F558" s="32">
        <v>60</v>
      </c>
      <c r="G558" s="32">
        <v>60</v>
      </c>
      <c r="H558" s="32">
        <v>60</v>
      </c>
      <c r="I558" s="32">
        <v>60</v>
      </c>
      <c r="J558" s="32">
        <v>60</v>
      </c>
      <c r="K558" s="32">
        <v>48</v>
      </c>
      <c r="L558" s="32">
        <v>48</v>
      </c>
      <c r="M558" s="39">
        <v>48</v>
      </c>
      <c r="N558" s="43">
        <f t="shared" si="16"/>
        <v>10</v>
      </c>
      <c r="O558" s="33"/>
      <c r="P558" s="32">
        <v>4</v>
      </c>
      <c r="Q558" s="32">
        <v>556</v>
      </c>
      <c r="R558" s="32">
        <v>120</v>
      </c>
      <c r="S558" s="32">
        <v>120</v>
      </c>
      <c r="T558" s="32">
        <v>120</v>
      </c>
      <c r="U558" s="32">
        <v>96</v>
      </c>
      <c r="V558" s="32">
        <v>60</v>
      </c>
      <c r="W558" s="32">
        <v>48</v>
      </c>
      <c r="X558">
        <f t="shared" si="17"/>
        <v>6</v>
      </c>
      <c r="BK558" s="32">
        <v>556</v>
      </c>
      <c r="BL558">
        <v>25</v>
      </c>
      <c r="BM558">
        <v>5</v>
      </c>
    </row>
    <row r="559" spans="1:65" x14ac:dyDescent="0.45">
      <c r="A559" s="33"/>
      <c r="B559" s="32">
        <v>5</v>
      </c>
      <c r="C559" s="32">
        <v>557</v>
      </c>
      <c r="D559" s="32">
        <v>60</v>
      </c>
      <c r="E559" s="32">
        <v>60</v>
      </c>
      <c r="F559" s="32">
        <v>60</v>
      </c>
      <c r="G559" s="32">
        <v>60</v>
      </c>
      <c r="H559" s="32">
        <v>60</v>
      </c>
      <c r="I559" s="32">
        <v>60</v>
      </c>
      <c r="J559" s="32">
        <v>60</v>
      </c>
      <c r="K559" s="32">
        <v>48</v>
      </c>
      <c r="L559" s="32">
        <v>48</v>
      </c>
      <c r="M559" s="39">
        <v>48</v>
      </c>
      <c r="N559" s="43">
        <f t="shared" si="16"/>
        <v>10</v>
      </c>
      <c r="O559" s="33"/>
      <c r="P559" s="32">
        <v>5</v>
      </c>
      <c r="Q559" s="32">
        <v>557</v>
      </c>
      <c r="R559" s="32">
        <v>120</v>
      </c>
      <c r="S559" s="32">
        <v>120</v>
      </c>
      <c r="T559" s="32">
        <v>120</v>
      </c>
      <c r="U559" s="32">
        <v>96</v>
      </c>
      <c r="V559" s="32">
        <v>60</v>
      </c>
      <c r="W559" s="32">
        <v>48</v>
      </c>
      <c r="X559">
        <f t="shared" si="17"/>
        <v>6</v>
      </c>
      <c r="BK559" s="32">
        <v>557</v>
      </c>
      <c r="BL559">
        <v>25</v>
      </c>
      <c r="BM559">
        <v>5</v>
      </c>
    </row>
    <row r="560" spans="1:65" x14ac:dyDescent="0.45">
      <c r="A560" s="33"/>
      <c r="B560" s="32">
        <v>6</v>
      </c>
      <c r="C560" s="32">
        <v>558</v>
      </c>
      <c r="D560" s="32">
        <v>60</v>
      </c>
      <c r="E560" s="32">
        <v>60</v>
      </c>
      <c r="F560" s="32">
        <v>60</v>
      </c>
      <c r="G560" s="32">
        <v>60</v>
      </c>
      <c r="H560" s="32">
        <v>60</v>
      </c>
      <c r="I560" s="32">
        <v>60</v>
      </c>
      <c r="J560" s="32">
        <v>60</v>
      </c>
      <c r="K560" s="32">
        <v>48</v>
      </c>
      <c r="L560" s="32">
        <v>48</v>
      </c>
      <c r="M560" s="39">
        <v>48</v>
      </c>
      <c r="N560" s="43">
        <f t="shared" si="16"/>
        <v>10</v>
      </c>
      <c r="O560" s="33"/>
      <c r="P560" s="32">
        <v>6</v>
      </c>
      <c r="Q560" s="32">
        <v>558</v>
      </c>
      <c r="R560" s="32">
        <v>120</v>
      </c>
      <c r="S560" s="32">
        <v>120</v>
      </c>
      <c r="T560" s="32">
        <v>120</v>
      </c>
      <c r="U560" s="32">
        <v>96</v>
      </c>
      <c r="V560" s="32">
        <v>60</v>
      </c>
      <c r="W560" s="32">
        <v>48</v>
      </c>
      <c r="X560">
        <f t="shared" si="17"/>
        <v>6</v>
      </c>
      <c r="BK560" s="32">
        <v>558</v>
      </c>
      <c r="BL560">
        <v>25</v>
      </c>
      <c r="BM560">
        <v>5</v>
      </c>
    </row>
    <row r="561" spans="1:65" x14ac:dyDescent="0.45">
      <c r="A561" s="33"/>
      <c r="B561" s="32">
        <v>7</v>
      </c>
      <c r="C561" s="32">
        <v>559</v>
      </c>
      <c r="D561" s="32">
        <v>60</v>
      </c>
      <c r="E561" s="32">
        <v>60</v>
      </c>
      <c r="F561" s="32">
        <v>60</v>
      </c>
      <c r="G561" s="32">
        <v>60</v>
      </c>
      <c r="H561" s="32">
        <v>60</v>
      </c>
      <c r="I561" s="32">
        <v>60</v>
      </c>
      <c r="J561" s="32">
        <v>60</v>
      </c>
      <c r="K561" s="32">
        <v>48</v>
      </c>
      <c r="L561" s="32">
        <v>48</v>
      </c>
      <c r="M561" s="39">
        <v>48</v>
      </c>
      <c r="N561" s="43">
        <f t="shared" si="16"/>
        <v>10</v>
      </c>
      <c r="O561" s="33"/>
      <c r="P561" s="32">
        <v>7</v>
      </c>
      <c r="Q561" s="32">
        <v>559</v>
      </c>
      <c r="R561" s="32">
        <v>120</v>
      </c>
      <c r="S561" s="32">
        <v>120</v>
      </c>
      <c r="T561" s="32">
        <v>120</v>
      </c>
      <c r="U561" s="32">
        <v>96</v>
      </c>
      <c r="V561" s="32">
        <v>60</v>
      </c>
      <c r="W561" s="32">
        <v>48</v>
      </c>
      <c r="X561">
        <f t="shared" si="17"/>
        <v>6</v>
      </c>
      <c r="BK561" s="32">
        <v>559</v>
      </c>
      <c r="BL561">
        <v>25</v>
      </c>
      <c r="BM561">
        <v>5</v>
      </c>
    </row>
    <row r="562" spans="1:65" x14ac:dyDescent="0.45">
      <c r="A562" s="33"/>
      <c r="B562" s="32">
        <v>8</v>
      </c>
      <c r="C562" s="32">
        <v>560</v>
      </c>
      <c r="D562" s="32">
        <v>60</v>
      </c>
      <c r="E562" s="32">
        <v>60</v>
      </c>
      <c r="F562" s="32">
        <v>60</v>
      </c>
      <c r="G562" s="32">
        <v>60</v>
      </c>
      <c r="H562" s="32">
        <v>60</v>
      </c>
      <c r="I562" s="32">
        <v>60</v>
      </c>
      <c r="J562" s="32">
        <v>60</v>
      </c>
      <c r="K562" s="32">
        <v>48</v>
      </c>
      <c r="L562" s="32">
        <v>48</v>
      </c>
      <c r="M562" s="39">
        <v>48</v>
      </c>
      <c r="N562" s="43">
        <f t="shared" si="16"/>
        <v>10</v>
      </c>
      <c r="O562" s="33"/>
      <c r="P562" s="32">
        <v>8</v>
      </c>
      <c r="Q562" s="32">
        <v>560</v>
      </c>
      <c r="R562" s="32">
        <v>120</v>
      </c>
      <c r="S562" s="32">
        <v>120</v>
      </c>
      <c r="T562" s="32">
        <v>120</v>
      </c>
      <c r="U562" s="32">
        <v>96</v>
      </c>
      <c r="V562" s="32">
        <v>60</v>
      </c>
      <c r="W562" s="32">
        <v>48</v>
      </c>
      <c r="X562">
        <f t="shared" si="17"/>
        <v>6</v>
      </c>
      <c r="BK562" s="32">
        <v>560</v>
      </c>
      <c r="BL562">
        <v>25</v>
      </c>
      <c r="BM562">
        <v>5</v>
      </c>
    </row>
    <row r="563" spans="1:65" x14ac:dyDescent="0.45">
      <c r="A563" s="33"/>
      <c r="B563" s="32">
        <v>9</v>
      </c>
      <c r="C563" s="32">
        <v>561</v>
      </c>
      <c r="D563" s="32">
        <v>60</v>
      </c>
      <c r="E563" s="32">
        <v>60</v>
      </c>
      <c r="F563" s="32">
        <v>60</v>
      </c>
      <c r="G563" s="32">
        <v>60</v>
      </c>
      <c r="H563" s="32">
        <v>60</v>
      </c>
      <c r="I563" s="32">
        <v>60</v>
      </c>
      <c r="J563" s="32">
        <v>60</v>
      </c>
      <c r="K563" s="32">
        <v>48</v>
      </c>
      <c r="L563" s="32">
        <v>48</v>
      </c>
      <c r="M563" s="39">
        <v>48</v>
      </c>
      <c r="N563" s="43">
        <f t="shared" si="16"/>
        <v>10</v>
      </c>
      <c r="O563" s="33"/>
      <c r="P563" s="32">
        <v>9</v>
      </c>
      <c r="Q563" s="32">
        <v>561</v>
      </c>
      <c r="R563" s="32">
        <v>120</v>
      </c>
      <c r="S563" s="32">
        <v>120</v>
      </c>
      <c r="T563" s="32">
        <v>120</v>
      </c>
      <c r="U563" s="32">
        <v>96</v>
      </c>
      <c r="V563" s="32">
        <v>60</v>
      </c>
      <c r="W563" s="32">
        <v>48</v>
      </c>
      <c r="X563">
        <f t="shared" si="17"/>
        <v>6</v>
      </c>
      <c r="BK563" s="32">
        <v>561</v>
      </c>
      <c r="BL563">
        <v>25</v>
      </c>
      <c r="BM563">
        <v>5</v>
      </c>
    </row>
    <row r="564" spans="1:65" x14ac:dyDescent="0.45">
      <c r="A564" s="33"/>
      <c r="B564" s="32">
        <v>10</v>
      </c>
      <c r="C564" s="32">
        <v>562</v>
      </c>
      <c r="D564" s="32">
        <v>60</v>
      </c>
      <c r="E564" s="32">
        <v>60</v>
      </c>
      <c r="F564" s="32">
        <v>60</v>
      </c>
      <c r="G564" s="32">
        <v>60</v>
      </c>
      <c r="H564" s="32">
        <v>60</v>
      </c>
      <c r="I564" s="32">
        <v>60</v>
      </c>
      <c r="J564" s="32">
        <v>60</v>
      </c>
      <c r="K564" s="32">
        <v>48</v>
      </c>
      <c r="L564" s="32">
        <v>48</v>
      </c>
      <c r="M564" s="39">
        <v>48</v>
      </c>
      <c r="N564" s="43">
        <f t="shared" si="16"/>
        <v>10</v>
      </c>
      <c r="O564" s="33"/>
      <c r="P564" s="32">
        <v>10</v>
      </c>
      <c r="Q564" s="32">
        <v>562</v>
      </c>
      <c r="R564" s="32">
        <v>120</v>
      </c>
      <c r="S564" s="32">
        <v>120</v>
      </c>
      <c r="T564" s="32">
        <v>120</v>
      </c>
      <c r="U564" s="32">
        <v>96</v>
      </c>
      <c r="V564" s="32">
        <v>60</v>
      </c>
      <c r="W564" s="32">
        <v>48</v>
      </c>
      <c r="X564">
        <f t="shared" si="17"/>
        <v>6</v>
      </c>
      <c r="BK564" s="32">
        <v>562</v>
      </c>
      <c r="BL564">
        <v>25</v>
      </c>
      <c r="BM564">
        <v>5</v>
      </c>
    </row>
    <row r="565" spans="1:65" x14ac:dyDescent="0.45">
      <c r="A565" s="33"/>
      <c r="B565" s="32">
        <v>11</v>
      </c>
      <c r="C565" s="32">
        <v>563</v>
      </c>
      <c r="D565" s="32">
        <v>60</v>
      </c>
      <c r="E565" s="32">
        <v>60</v>
      </c>
      <c r="F565" s="32">
        <v>60</v>
      </c>
      <c r="G565" s="32">
        <v>60</v>
      </c>
      <c r="H565" s="32">
        <v>60</v>
      </c>
      <c r="I565" s="32">
        <v>60</v>
      </c>
      <c r="J565" s="32">
        <v>60</v>
      </c>
      <c r="K565" s="32">
        <v>48</v>
      </c>
      <c r="L565" s="32">
        <v>48</v>
      </c>
      <c r="M565" s="39">
        <v>48</v>
      </c>
      <c r="N565" s="43">
        <f t="shared" si="16"/>
        <v>10</v>
      </c>
      <c r="O565" s="33"/>
      <c r="P565" s="32">
        <v>11</v>
      </c>
      <c r="Q565" s="32">
        <v>563</v>
      </c>
      <c r="R565" s="32">
        <v>120</v>
      </c>
      <c r="S565" s="32">
        <v>120</v>
      </c>
      <c r="T565" s="32">
        <v>120</v>
      </c>
      <c r="U565" s="32">
        <v>96</v>
      </c>
      <c r="V565" s="32">
        <v>60</v>
      </c>
      <c r="W565" s="32">
        <v>48</v>
      </c>
      <c r="X565">
        <f t="shared" si="17"/>
        <v>6</v>
      </c>
      <c r="BK565" s="32">
        <v>563</v>
      </c>
      <c r="BL565">
        <v>25</v>
      </c>
      <c r="BM565">
        <v>5</v>
      </c>
    </row>
    <row r="566" spans="1:65" x14ac:dyDescent="0.45">
      <c r="A566" s="33">
        <v>47</v>
      </c>
      <c r="B566" s="32"/>
      <c r="C566" s="32">
        <v>564</v>
      </c>
      <c r="D566" s="32">
        <v>60</v>
      </c>
      <c r="E566" s="32">
        <v>60</v>
      </c>
      <c r="F566" s="32">
        <v>60</v>
      </c>
      <c r="G566" s="32">
        <v>60</v>
      </c>
      <c r="H566" s="32">
        <v>60</v>
      </c>
      <c r="I566" s="32">
        <v>60</v>
      </c>
      <c r="J566" s="32">
        <v>60</v>
      </c>
      <c r="K566" s="32">
        <v>48</v>
      </c>
      <c r="L566" s="32">
        <v>48</v>
      </c>
      <c r="M566" s="39">
        <v>48</v>
      </c>
      <c r="N566" s="43">
        <f t="shared" si="16"/>
        <v>10</v>
      </c>
      <c r="O566" s="33">
        <v>47</v>
      </c>
      <c r="P566" s="32"/>
      <c r="Q566" s="32">
        <v>564</v>
      </c>
      <c r="R566" s="32">
        <v>120</v>
      </c>
      <c r="S566" s="32">
        <v>120</v>
      </c>
      <c r="T566" s="32">
        <v>120</v>
      </c>
      <c r="U566" s="32">
        <v>96</v>
      </c>
      <c r="V566" s="32">
        <v>60</v>
      </c>
      <c r="W566" s="32">
        <v>48</v>
      </c>
      <c r="X566">
        <f t="shared" si="17"/>
        <v>6</v>
      </c>
      <c r="BK566" s="32">
        <v>564</v>
      </c>
      <c r="BL566">
        <v>25</v>
      </c>
      <c r="BM566">
        <v>5</v>
      </c>
    </row>
    <row r="567" spans="1:65" x14ac:dyDescent="0.45">
      <c r="A567" s="33"/>
      <c r="B567" s="32">
        <v>1</v>
      </c>
      <c r="C567" s="32">
        <v>565</v>
      </c>
      <c r="D567" s="32">
        <v>60</v>
      </c>
      <c r="E567" s="32">
        <v>60</v>
      </c>
      <c r="F567" s="32">
        <v>60</v>
      </c>
      <c r="G567" s="32">
        <v>60</v>
      </c>
      <c r="H567" s="32">
        <v>60</v>
      </c>
      <c r="I567" s="32">
        <v>60</v>
      </c>
      <c r="J567" s="32">
        <v>60</v>
      </c>
      <c r="K567" s="32">
        <v>60</v>
      </c>
      <c r="L567" s="32">
        <v>48</v>
      </c>
      <c r="M567" s="39">
        <v>48</v>
      </c>
      <c r="N567" s="43">
        <f t="shared" si="16"/>
        <v>10</v>
      </c>
      <c r="O567" s="33"/>
      <c r="P567" s="32">
        <v>1</v>
      </c>
      <c r="Q567" s="32">
        <v>565</v>
      </c>
      <c r="R567" s="32">
        <v>120</v>
      </c>
      <c r="S567" s="32">
        <v>120</v>
      </c>
      <c r="T567" s="32">
        <v>120</v>
      </c>
      <c r="U567" s="32">
        <v>120</v>
      </c>
      <c r="V567" s="32">
        <v>96</v>
      </c>
      <c r="W567" s="32"/>
      <c r="X567">
        <f t="shared" si="17"/>
        <v>5</v>
      </c>
      <c r="BK567" s="32">
        <v>565</v>
      </c>
      <c r="BL567">
        <v>25</v>
      </c>
      <c r="BM567">
        <v>5</v>
      </c>
    </row>
    <row r="568" spans="1:65" x14ac:dyDescent="0.45">
      <c r="A568" s="33"/>
      <c r="B568" s="32">
        <v>2</v>
      </c>
      <c r="C568" s="32">
        <v>566</v>
      </c>
      <c r="D568" s="32">
        <v>60</v>
      </c>
      <c r="E568" s="32">
        <v>60</v>
      </c>
      <c r="F568" s="32">
        <v>60</v>
      </c>
      <c r="G568" s="32">
        <v>60</v>
      </c>
      <c r="H568" s="32">
        <v>60</v>
      </c>
      <c r="I568" s="32">
        <v>60</v>
      </c>
      <c r="J568" s="32">
        <v>60</v>
      </c>
      <c r="K568" s="32">
        <v>60</v>
      </c>
      <c r="L568" s="32">
        <v>48</v>
      </c>
      <c r="M568" s="39">
        <v>48</v>
      </c>
      <c r="N568" s="43">
        <f t="shared" si="16"/>
        <v>10</v>
      </c>
      <c r="O568" s="33"/>
      <c r="P568" s="32">
        <v>2</v>
      </c>
      <c r="Q568" s="32">
        <v>566</v>
      </c>
      <c r="R568" s="32">
        <v>120</v>
      </c>
      <c r="S568" s="32">
        <v>120</v>
      </c>
      <c r="T568" s="32">
        <v>120</v>
      </c>
      <c r="U568" s="32">
        <v>120</v>
      </c>
      <c r="V568" s="32">
        <v>96</v>
      </c>
      <c r="W568" s="32"/>
      <c r="X568">
        <f t="shared" si="17"/>
        <v>5</v>
      </c>
      <c r="BK568" s="32">
        <v>566</v>
      </c>
      <c r="BL568">
        <v>25</v>
      </c>
      <c r="BM568">
        <v>5</v>
      </c>
    </row>
    <row r="569" spans="1:65" x14ac:dyDescent="0.45">
      <c r="A569" s="33"/>
      <c r="B569" s="32">
        <v>3</v>
      </c>
      <c r="C569" s="32">
        <v>567</v>
      </c>
      <c r="D569" s="32">
        <v>60</v>
      </c>
      <c r="E569" s="32">
        <v>60</v>
      </c>
      <c r="F569" s="32">
        <v>60</v>
      </c>
      <c r="G569" s="32">
        <v>60</v>
      </c>
      <c r="H569" s="32">
        <v>60</v>
      </c>
      <c r="I569" s="32">
        <v>60</v>
      </c>
      <c r="J569" s="32">
        <v>60</v>
      </c>
      <c r="K569" s="32">
        <v>60</v>
      </c>
      <c r="L569" s="32">
        <v>48</v>
      </c>
      <c r="M569" s="39">
        <v>48</v>
      </c>
      <c r="N569" s="43">
        <f t="shared" si="16"/>
        <v>10</v>
      </c>
      <c r="O569" s="33"/>
      <c r="P569" s="32">
        <v>3</v>
      </c>
      <c r="Q569" s="32">
        <v>567</v>
      </c>
      <c r="R569" s="32">
        <v>120</v>
      </c>
      <c r="S569" s="32">
        <v>120</v>
      </c>
      <c r="T569" s="32">
        <v>120</v>
      </c>
      <c r="U569" s="32">
        <v>120</v>
      </c>
      <c r="V569" s="32">
        <v>96</v>
      </c>
      <c r="W569" s="32"/>
      <c r="X569">
        <f t="shared" si="17"/>
        <v>5</v>
      </c>
      <c r="BK569" s="32">
        <v>567</v>
      </c>
      <c r="BL569">
        <v>25</v>
      </c>
      <c r="BM569">
        <v>5</v>
      </c>
    </row>
    <row r="570" spans="1:65" x14ac:dyDescent="0.45">
      <c r="A570" s="33"/>
      <c r="B570" s="32">
        <v>4</v>
      </c>
      <c r="C570" s="32">
        <v>568</v>
      </c>
      <c r="D570" s="32">
        <v>60</v>
      </c>
      <c r="E570" s="32">
        <v>60</v>
      </c>
      <c r="F570" s="32">
        <v>60</v>
      </c>
      <c r="G570" s="32">
        <v>60</v>
      </c>
      <c r="H570" s="32">
        <v>60</v>
      </c>
      <c r="I570" s="32">
        <v>60</v>
      </c>
      <c r="J570" s="32">
        <v>60</v>
      </c>
      <c r="K570" s="32">
        <v>60</v>
      </c>
      <c r="L570" s="32">
        <v>48</v>
      </c>
      <c r="M570" s="39">
        <v>48</v>
      </c>
      <c r="N570" s="43">
        <f t="shared" si="16"/>
        <v>10</v>
      </c>
      <c r="O570" s="33"/>
      <c r="P570" s="32">
        <v>4</v>
      </c>
      <c r="Q570" s="32">
        <v>568</v>
      </c>
      <c r="R570" s="32">
        <v>120</v>
      </c>
      <c r="S570" s="32">
        <v>120</v>
      </c>
      <c r="T570" s="32">
        <v>120</v>
      </c>
      <c r="U570" s="32">
        <v>120</v>
      </c>
      <c r="V570" s="32">
        <v>96</v>
      </c>
      <c r="W570" s="32"/>
      <c r="X570">
        <f t="shared" si="17"/>
        <v>5</v>
      </c>
      <c r="BK570" s="32">
        <v>568</v>
      </c>
      <c r="BL570">
        <v>25</v>
      </c>
      <c r="BM570">
        <v>5</v>
      </c>
    </row>
    <row r="571" spans="1:65" x14ac:dyDescent="0.45">
      <c r="A571" s="33"/>
      <c r="B571" s="32">
        <v>5</v>
      </c>
      <c r="C571" s="32">
        <v>569</v>
      </c>
      <c r="D571" s="32">
        <v>60</v>
      </c>
      <c r="E571" s="32">
        <v>60</v>
      </c>
      <c r="F571" s="32">
        <v>60</v>
      </c>
      <c r="G571" s="32">
        <v>60</v>
      </c>
      <c r="H571" s="32">
        <v>60</v>
      </c>
      <c r="I571" s="32">
        <v>60</v>
      </c>
      <c r="J571" s="32">
        <v>60</v>
      </c>
      <c r="K571" s="32">
        <v>60</v>
      </c>
      <c r="L571" s="32">
        <v>48</v>
      </c>
      <c r="M571" s="39">
        <v>48</v>
      </c>
      <c r="N571" s="43">
        <f t="shared" si="16"/>
        <v>10</v>
      </c>
      <c r="O571" s="33"/>
      <c r="P571" s="32">
        <v>5</v>
      </c>
      <c r="Q571" s="32">
        <v>569</v>
      </c>
      <c r="R571" s="32">
        <v>120</v>
      </c>
      <c r="S571" s="32">
        <v>120</v>
      </c>
      <c r="T571" s="32">
        <v>120</v>
      </c>
      <c r="U571" s="32">
        <v>120</v>
      </c>
      <c r="V571" s="32">
        <v>96</v>
      </c>
      <c r="W571" s="32"/>
      <c r="X571">
        <f t="shared" si="17"/>
        <v>5</v>
      </c>
      <c r="BK571" s="32">
        <v>569</v>
      </c>
      <c r="BL571">
        <v>25</v>
      </c>
      <c r="BM571">
        <v>5</v>
      </c>
    </row>
    <row r="572" spans="1:65" x14ac:dyDescent="0.45">
      <c r="A572" s="33"/>
      <c r="B572" s="32">
        <v>6</v>
      </c>
      <c r="C572" s="32">
        <v>570</v>
      </c>
      <c r="D572" s="32">
        <v>60</v>
      </c>
      <c r="E572" s="32">
        <v>60</v>
      </c>
      <c r="F572" s="32">
        <v>60</v>
      </c>
      <c r="G572" s="32">
        <v>60</v>
      </c>
      <c r="H572" s="32">
        <v>60</v>
      </c>
      <c r="I572" s="32">
        <v>60</v>
      </c>
      <c r="J572" s="32">
        <v>60</v>
      </c>
      <c r="K572" s="32">
        <v>60</v>
      </c>
      <c r="L572" s="32">
        <v>48</v>
      </c>
      <c r="M572" s="39">
        <v>48</v>
      </c>
      <c r="N572" s="43">
        <f t="shared" si="16"/>
        <v>10</v>
      </c>
      <c r="O572" s="33"/>
      <c r="P572" s="32">
        <v>6</v>
      </c>
      <c r="Q572" s="32">
        <v>570</v>
      </c>
      <c r="R572" s="32">
        <v>120</v>
      </c>
      <c r="S572" s="32">
        <v>120</v>
      </c>
      <c r="T572" s="32">
        <v>120</v>
      </c>
      <c r="U572" s="32">
        <v>120</v>
      </c>
      <c r="V572" s="32">
        <v>96</v>
      </c>
      <c r="W572" s="32"/>
      <c r="X572">
        <f t="shared" si="17"/>
        <v>5</v>
      </c>
      <c r="BK572" s="32">
        <v>570</v>
      </c>
      <c r="BL572">
        <v>25</v>
      </c>
      <c r="BM572">
        <v>5</v>
      </c>
    </row>
    <row r="573" spans="1:65" x14ac:dyDescent="0.45">
      <c r="A573" s="33"/>
      <c r="B573" s="32">
        <v>7</v>
      </c>
      <c r="C573" s="32">
        <v>571</v>
      </c>
      <c r="D573" s="32">
        <v>60</v>
      </c>
      <c r="E573" s="32">
        <v>60</v>
      </c>
      <c r="F573" s="32">
        <v>60</v>
      </c>
      <c r="G573" s="32">
        <v>60</v>
      </c>
      <c r="H573" s="32">
        <v>60</v>
      </c>
      <c r="I573" s="32">
        <v>60</v>
      </c>
      <c r="J573" s="32">
        <v>60</v>
      </c>
      <c r="K573" s="32">
        <v>60</v>
      </c>
      <c r="L573" s="32">
        <v>48</v>
      </c>
      <c r="M573" s="39">
        <v>48</v>
      </c>
      <c r="N573" s="43">
        <f t="shared" si="16"/>
        <v>10</v>
      </c>
      <c r="O573" s="33"/>
      <c r="P573" s="32">
        <v>7</v>
      </c>
      <c r="Q573" s="32">
        <v>571</v>
      </c>
      <c r="R573" s="32">
        <v>120</v>
      </c>
      <c r="S573" s="32">
        <v>120</v>
      </c>
      <c r="T573" s="32">
        <v>120</v>
      </c>
      <c r="U573" s="32">
        <v>120</v>
      </c>
      <c r="V573" s="32">
        <v>96</v>
      </c>
      <c r="W573" s="32"/>
      <c r="X573">
        <f t="shared" si="17"/>
        <v>5</v>
      </c>
      <c r="BK573" s="32">
        <v>571</v>
      </c>
      <c r="BL573">
        <v>25</v>
      </c>
      <c r="BM573">
        <v>5</v>
      </c>
    </row>
    <row r="574" spans="1:65" x14ac:dyDescent="0.45">
      <c r="A574" s="33"/>
      <c r="B574" s="32">
        <v>8</v>
      </c>
      <c r="C574" s="32">
        <v>572</v>
      </c>
      <c r="D574" s="32">
        <v>60</v>
      </c>
      <c r="E574" s="32">
        <v>60</v>
      </c>
      <c r="F574" s="32">
        <v>60</v>
      </c>
      <c r="G574" s="32">
        <v>60</v>
      </c>
      <c r="H574" s="32">
        <v>60</v>
      </c>
      <c r="I574" s="32">
        <v>60</v>
      </c>
      <c r="J574" s="32">
        <v>60</v>
      </c>
      <c r="K574" s="32">
        <v>60</v>
      </c>
      <c r="L574" s="32">
        <v>48</v>
      </c>
      <c r="M574" s="39">
        <v>48</v>
      </c>
      <c r="N574" s="43">
        <f t="shared" si="16"/>
        <v>10</v>
      </c>
      <c r="O574" s="33"/>
      <c r="P574" s="32">
        <v>8</v>
      </c>
      <c r="Q574" s="32">
        <v>572</v>
      </c>
      <c r="R574" s="32">
        <v>120</v>
      </c>
      <c r="S574" s="32">
        <v>120</v>
      </c>
      <c r="T574" s="32">
        <v>120</v>
      </c>
      <c r="U574" s="32">
        <v>120</v>
      </c>
      <c r="V574" s="32">
        <v>96</v>
      </c>
      <c r="W574" s="32"/>
      <c r="X574">
        <f t="shared" si="17"/>
        <v>5</v>
      </c>
      <c r="BK574" s="32">
        <v>572</v>
      </c>
      <c r="BL574">
        <v>25</v>
      </c>
      <c r="BM574">
        <v>5</v>
      </c>
    </row>
    <row r="575" spans="1:65" x14ac:dyDescent="0.45">
      <c r="A575" s="33"/>
      <c r="B575" s="32">
        <v>9</v>
      </c>
      <c r="C575" s="32">
        <v>573</v>
      </c>
      <c r="D575" s="32">
        <v>60</v>
      </c>
      <c r="E575" s="32">
        <v>60</v>
      </c>
      <c r="F575" s="32">
        <v>60</v>
      </c>
      <c r="G575" s="32">
        <v>60</v>
      </c>
      <c r="H575" s="32">
        <v>60</v>
      </c>
      <c r="I575" s="32">
        <v>60</v>
      </c>
      <c r="J575" s="32">
        <v>60</v>
      </c>
      <c r="K575" s="32">
        <v>60</v>
      </c>
      <c r="L575" s="32">
        <v>48</v>
      </c>
      <c r="M575" s="39">
        <v>48</v>
      </c>
      <c r="N575" s="43">
        <f t="shared" si="16"/>
        <v>10</v>
      </c>
      <c r="O575" s="33"/>
      <c r="P575" s="32">
        <v>9</v>
      </c>
      <c r="Q575" s="32">
        <v>573</v>
      </c>
      <c r="R575" s="32">
        <v>120</v>
      </c>
      <c r="S575" s="32">
        <v>120</v>
      </c>
      <c r="T575" s="32">
        <v>120</v>
      </c>
      <c r="U575" s="32">
        <v>120</v>
      </c>
      <c r="V575" s="32">
        <v>96</v>
      </c>
      <c r="W575" s="32"/>
      <c r="X575">
        <f t="shared" si="17"/>
        <v>5</v>
      </c>
      <c r="BK575" s="32">
        <v>573</v>
      </c>
      <c r="BL575">
        <v>25</v>
      </c>
      <c r="BM575">
        <v>5</v>
      </c>
    </row>
    <row r="576" spans="1:65" x14ac:dyDescent="0.45">
      <c r="A576" s="33"/>
      <c r="B576" s="32">
        <v>10</v>
      </c>
      <c r="C576" s="32">
        <v>574</v>
      </c>
      <c r="D576" s="32">
        <v>60</v>
      </c>
      <c r="E576" s="32">
        <v>60</v>
      </c>
      <c r="F576" s="32">
        <v>60</v>
      </c>
      <c r="G576" s="32">
        <v>60</v>
      </c>
      <c r="H576" s="32">
        <v>60</v>
      </c>
      <c r="I576" s="32">
        <v>60</v>
      </c>
      <c r="J576" s="32">
        <v>60</v>
      </c>
      <c r="K576" s="32">
        <v>60</v>
      </c>
      <c r="L576" s="32">
        <v>48</v>
      </c>
      <c r="M576" s="39">
        <v>48</v>
      </c>
      <c r="N576" s="43">
        <f t="shared" si="16"/>
        <v>10</v>
      </c>
      <c r="O576" s="33"/>
      <c r="P576" s="32">
        <v>10</v>
      </c>
      <c r="Q576" s="32">
        <v>574</v>
      </c>
      <c r="R576" s="32">
        <v>120</v>
      </c>
      <c r="S576" s="32">
        <v>120</v>
      </c>
      <c r="T576" s="32">
        <v>120</v>
      </c>
      <c r="U576" s="32">
        <v>120</v>
      </c>
      <c r="V576" s="32">
        <v>96</v>
      </c>
      <c r="W576" s="32"/>
      <c r="X576">
        <f t="shared" si="17"/>
        <v>5</v>
      </c>
      <c r="BK576" s="32">
        <v>574</v>
      </c>
      <c r="BL576">
        <v>25</v>
      </c>
      <c r="BM576">
        <v>5</v>
      </c>
    </row>
    <row r="577" spans="1:65" x14ac:dyDescent="0.45">
      <c r="A577" s="33"/>
      <c r="B577" s="32">
        <v>11</v>
      </c>
      <c r="C577" s="32">
        <v>575</v>
      </c>
      <c r="D577" s="32">
        <v>60</v>
      </c>
      <c r="E577" s="32">
        <v>60</v>
      </c>
      <c r="F577" s="32">
        <v>60</v>
      </c>
      <c r="G577" s="32">
        <v>60</v>
      </c>
      <c r="H577" s="32">
        <v>60</v>
      </c>
      <c r="I577" s="32">
        <v>60</v>
      </c>
      <c r="J577" s="32">
        <v>60</v>
      </c>
      <c r="K577" s="32">
        <v>60</v>
      </c>
      <c r="L577" s="32">
        <v>48</v>
      </c>
      <c r="M577" s="39">
        <v>48</v>
      </c>
      <c r="N577" s="43">
        <f t="shared" si="16"/>
        <v>10</v>
      </c>
      <c r="O577" s="33"/>
      <c r="P577" s="32">
        <v>11</v>
      </c>
      <c r="Q577" s="32">
        <v>575</v>
      </c>
      <c r="R577" s="32">
        <v>120</v>
      </c>
      <c r="S577" s="32">
        <v>120</v>
      </c>
      <c r="T577" s="32">
        <v>120</v>
      </c>
      <c r="U577" s="32">
        <v>120</v>
      </c>
      <c r="V577" s="32">
        <v>96</v>
      </c>
      <c r="W577" s="32"/>
      <c r="X577">
        <f t="shared" si="17"/>
        <v>5</v>
      </c>
      <c r="BK577" s="32">
        <v>575</v>
      </c>
      <c r="BL577">
        <v>25</v>
      </c>
      <c r="BM577">
        <v>5</v>
      </c>
    </row>
    <row r="578" spans="1:65" x14ac:dyDescent="0.45">
      <c r="A578" s="33">
        <v>48</v>
      </c>
      <c r="B578" s="32"/>
      <c r="C578" s="32">
        <v>576</v>
      </c>
      <c r="D578" s="32">
        <v>60</v>
      </c>
      <c r="E578" s="32">
        <v>60</v>
      </c>
      <c r="F578" s="32">
        <v>60</v>
      </c>
      <c r="G578" s="32">
        <v>60</v>
      </c>
      <c r="H578" s="32">
        <v>60</v>
      </c>
      <c r="I578" s="32">
        <v>60</v>
      </c>
      <c r="J578" s="32">
        <v>60</v>
      </c>
      <c r="K578" s="32">
        <v>60</v>
      </c>
      <c r="L578" s="32">
        <v>48</v>
      </c>
      <c r="M578" s="39">
        <v>48</v>
      </c>
      <c r="N578" s="43">
        <f t="shared" si="16"/>
        <v>10</v>
      </c>
      <c r="O578" s="33">
        <v>48</v>
      </c>
      <c r="P578" s="32"/>
      <c r="Q578" s="32">
        <v>576</v>
      </c>
      <c r="R578" s="32">
        <v>120</v>
      </c>
      <c r="S578" s="32">
        <v>120</v>
      </c>
      <c r="T578" s="32">
        <v>120</v>
      </c>
      <c r="U578" s="32">
        <v>120</v>
      </c>
      <c r="V578" s="32">
        <v>96</v>
      </c>
      <c r="W578" s="32"/>
      <c r="X578">
        <f t="shared" si="17"/>
        <v>5</v>
      </c>
      <c r="BK578" s="32">
        <v>576</v>
      </c>
      <c r="BL578">
        <v>25</v>
      </c>
      <c r="BM578">
        <v>5</v>
      </c>
    </row>
    <row r="579" spans="1:65" x14ac:dyDescent="0.45">
      <c r="A579" s="33"/>
      <c r="B579" s="32">
        <v>1</v>
      </c>
      <c r="C579" s="32">
        <v>577</v>
      </c>
      <c r="D579" s="32">
        <v>60</v>
      </c>
      <c r="E579" s="32">
        <v>60</v>
      </c>
      <c r="F579" s="32">
        <v>60</v>
      </c>
      <c r="G579" s="32">
        <v>60</v>
      </c>
      <c r="H579" s="32">
        <v>60</v>
      </c>
      <c r="I579" s="32">
        <v>60</v>
      </c>
      <c r="J579" s="32">
        <v>60</v>
      </c>
      <c r="K579" s="32">
        <v>60</v>
      </c>
      <c r="L579" s="32">
        <v>60</v>
      </c>
      <c r="M579" s="39">
        <v>48</v>
      </c>
      <c r="N579" s="43">
        <f t="shared" si="16"/>
        <v>10</v>
      </c>
      <c r="O579" s="33"/>
      <c r="P579" s="32">
        <v>1</v>
      </c>
      <c r="Q579" s="32">
        <v>577</v>
      </c>
      <c r="R579" s="32">
        <v>120</v>
      </c>
      <c r="S579" s="32">
        <v>120</v>
      </c>
      <c r="T579" s="32">
        <v>120</v>
      </c>
      <c r="U579" s="32">
        <v>120</v>
      </c>
      <c r="V579" s="32">
        <v>60</v>
      </c>
      <c r="W579" s="32">
        <v>48</v>
      </c>
      <c r="X579">
        <f t="shared" si="17"/>
        <v>6</v>
      </c>
      <c r="BK579" s="32">
        <v>577</v>
      </c>
      <c r="BL579">
        <v>25</v>
      </c>
      <c r="BM579">
        <v>5</v>
      </c>
    </row>
    <row r="580" spans="1:65" x14ac:dyDescent="0.45">
      <c r="A580" s="33"/>
      <c r="B580" s="32">
        <v>2</v>
      </c>
      <c r="C580" s="32">
        <v>578</v>
      </c>
      <c r="D580" s="32">
        <v>60</v>
      </c>
      <c r="E580" s="32">
        <v>60</v>
      </c>
      <c r="F580" s="32">
        <v>60</v>
      </c>
      <c r="G580" s="32">
        <v>60</v>
      </c>
      <c r="H580" s="32">
        <v>60</v>
      </c>
      <c r="I580" s="32">
        <v>60</v>
      </c>
      <c r="J580" s="32">
        <v>60</v>
      </c>
      <c r="K580" s="32">
        <v>60</v>
      </c>
      <c r="L580" s="32">
        <v>60</v>
      </c>
      <c r="M580" s="39">
        <v>48</v>
      </c>
      <c r="N580" s="43">
        <f t="shared" ref="N580:N602" si="18">COUNT(D580:M580)</f>
        <v>10</v>
      </c>
      <c r="O580" s="33"/>
      <c r="P580" s="32">
        <v>2</v>
      </c>
      <c r="Q580" s="32">
        <v>578</v>
      </c>
      <c r="R580" s="32">
        <v>120</v>
      </c>
      <c r="S580" s="32">
        <v>120</v>
      </c>
      <c r="T580" s="32">
        <v>120</v>
      </c>
      <c r="U580" s="32">
        <v>120</v>
      </c>
      <c r="V580" s="32">
        <v>60</v>
      </c>
      <c r="W580" s="32">
        <v>48</v>
      </c>
      <c r="X580">
        <f t="shared" ref="X580:X602" si="19">COUNT(R580:W580)</f>
        <v>6</v>
      </c>
      <c r="BK580" s="32">
        <v>578</v>
      </c>
      <c r="BL580">
        <v>25</v>
      </c>
      <c r="BM580">
        <v>5</v>
      </c>
    </row>
    <row r="581" spans="1:65" x14ac:dyDescent="0.45">
      <c r="A581" s="33"/>
      <c r="B581" s="32">
        <v>3</v>
      </c>
      <c r="C581" s="32">
        <v>579</v>
      </c>
      <c r="D581" s="32">
        <v>60</v>
      </c>
      <c r="E581" s="32">
        <v>60</v>
      </c>
      <c r="F581" s="32">
        <v>60</v>
      </c>
      <c r="G581" s="32">
        <v>60</v>
      </c>
      <c r="H581" s="32">
        <v>60</v>
      </c>
      <c r="I581" s="32">
        <v>60</v>
      </c>
      <c r="J581" s="32">
        <v>60</v>
      </c>
      <c r="K581" s="32">
        <v>60</v>
      </c>
      <c r="L581" s="32">
        <v>60</v>
      </c>
      <c r="M581" s="39">
        <v>48</v>
      </c>
      <c r="N581" s="43">
        <f t="shared" si="18"/>
        <v>10</v>
      </c>
      <c r="O581" s="33"/>
      <c r="P581" s="32">
        <v>3</v>
      </c>
      <c r="Q581" s="32">
        <v>579</v>
      </c>
      <c r="R581" s="32">
        <v>120</v>
      </c>
      <c r="S581" s="32">
        <v>120</v>
      </c>
      <c r="T581" s="32">
        <v>120</v>
      </c>
      <c r="U581" s="32">
        <v>120</v>
      </c>
      <c r="V581" s="32">
        <v>60</v>
      </c>
      <c r="W581" s="32">
        <v>48</v>
      </c>
      <c r="X581">
        <f t="shared" si="19"/>
        <v>6</v>
      </c>
      <c r="BK581" s="32">
        <v>579</v>
      </c>
      <c r="BL581">
        <v>25</v>
      </c>
      <c r="BM581">
        <v>5</v>
      </c>
    </row>
    <row r="582" spans="1:65" x14ac:dyDescent="0.45">
      <c r="A582" s="33"/>
      <c r="B582" s="32">
        <v>4</v>
      </c>
      <c r="C582" s="32">
        <v>580</v>
      </c>
      <c r="D582" s="32">
        <v>60</v>
      </c>
      <c r="E582" s="32">
        <v>60</v>
      </c>
      <c r="F582" s="32">
        <v>60</v>
      </c>
      <c r="G582" s="32">
        <v>60</v>
      </c>
      <c r="H582" s="32">
        <v>60</v>
      </c>
      <c r="I582" s="32">
        <v>60</v>
      </c>
      <c r="J582" s="32">
        <v>60</v>
      </c>
      <c r="K582" s="32">
        <v>60</v>
      </c>
      <c r="L582" s="32">
        <v>60</v>
      </c>
      <c r="M582" s="39">
        <v>48</v>
      </c>
      <c r="N582" s="43">
        <f t="shared" si="18"/>
        <v>10</v>
      </c>
      <c r="O582" s="33"/>
      <c r="P582" s="32">
        <v>4</v>
      </c>
      <c r="Q582" s="32">
        <v>580</v>
      </c>
      <c r="R582" s="32">
        <v>120</v>
      </c>
      <c r="S582" s="32">
        <v>120</v>
      </c>
      <c r="T582" s="32">
        <v>120</v>
      </c>
      <c r="U582" s="32">
        <v>120</v>
      </c>
      <c r="V582" s="32">
        <v>60</v>
      </c>
      <c r="W582" s="32">
        <v>48</v>
      </c>
      <c r="X582">
        <f t="shared" si="19"/>
        <v>6</v>
      </c>
      <c r="BK582" s="32">
        <v>580</v>
      </c>
      <c r="BL582">
        <v>25</v>
      </c>
      <c r="BM582">
        <v>5</v>
      </c>
    </row>
    <row r="583" spans="1:65" x14ac:dyDescent="0.45">
      <c r="A583" s="33"/>
      <c r="B583" s="32">
        <v>5</v>
      </c>
      <c r="C583" s="32">
        <v>581</v>
      </c>
      <c r="D583" s="32">
        <v>60</v>
      </c>
      <c r="E583" s="32">
        <v>60</v>
      </c>
      <c r="F583" s="32">
        <v>60</v>
      </c>
      <c r="G583" s="32">
        <v>60</v>
      </c>
      <c r="H583" s="32">
        <v>60</v>
      </c>
      <c r="I583" s="32">
        <v>60</v>
      </c>
      <c r="J583" s="32">
        <v>60</v>
      </c>
      <c r="K583" s="32">
        <v>60</v>
      </c>
      <c r="L583" s="32">
        <v>60</v>
      </c>
      <c r="M583" s="39">
        <v>48</v>
      </c>
      <c r="N583" s="43">
        <f t="shared" si="18"/>
        <v>10</v>
      </c>
      <c r="O583" s="33"/>
      <c r="P583" s="32">
        <v>5</v>
      </c>
      <c r="Q583" s="32">
        <v>581</v>
      </c>
      <c r="R583" s="32">
        <v>120</v>
      </c>
      <c r="S583" s="32">
        <v>120</v>
      </c>
      <c r="T583" s="32">
        <v>120</v>
      </c>
      <c r="U583" s="32">
        <v>120</v>
      </c>
      <c r="V583" s="32">
        <v>60</v>
      </c>
      <c r="W583" s="32">
        <v>48</v>
      </c>
      <c r="X583">
        <f t="shared" si="19"/>
        <v>6</v>
      </c>
      <c r="BK583" s="32">
        <v>581</v>
      </c>
      <c r="BL583">
        <v>25</v>
      </c>
      <c r="BM583">
        <v>5</v>
      </c>
    </row>
    <row r="584" spans="1:65" x14ac:dyDescent="0.45">
      <c r="A584" s="33"/>
      <c r="B584" s="32">
        <v>6</v>
      </c>
      <c r="C584" s="32">
        <v>582</v>
      </c>
      <c r="D584" s="32">
        <v>60</v>
      </c>
      <c r="E584" s="32">
        <v>60</v>
      </c>
      <c r="F584" s="32">
        <v>60</v>
      </c>
      <c r="G584" s="32">
        <v>60</v>
      </c>
      <c r="H584" s="32">
        <v>60</v>
      </c>
      <c r="I584" s="32">
        <v>60</v>
      </c>
      <c r="J584" s="32">
        <v>60</v>
      </c>
      <c r="K584" s="32">
        <v>60</v>
      </c>
      <c r="L584" s="32">
        <v>60</v>
      </c>
      <c r="M584" s="39">
        <v>48</v>
      </c>
      <c r="N584" s="43">
        <f t="shared" si="18"/>
        <v>10</v>
      </c>
      <c r="O584" s="33"/>
      <c r="P584" s="32">
        <v>6</v>
      </c>
      <c r="Q584" s="32">
        <v>582</v>
      </c>
      <c r="R584" s="32">
        <v>120</v>
      </c>
      <c r="S584" s="32">
        <v>120</v>
      </c>
      <c r="T584" s="32">
        <v>120</v>
      </c>
      <c r="U584" s="32">
        <v>120</v>
      </c>
      <c r="V584" s="32">
        <v>60</v>
      </c>
      <c r="W584" s="32">
        <v>48</v>
      </c>
      <c r="X584">
        <f t="shared" si="19"/>
        <v>6</v>
      </c>
      <c r="BK584" s="32">
        <v>582</v>
      </c>
      <c r="BL584">
        <v>25</v>
      </c>
      <c r="BM584">
        <v>5</v>
      </c>
    </row>
    <row r="585" spans="1:65" x14ac:dyDescent="0.45">
      <c r="A585" s="33"/>
      <c r="B585" s="32">
        <v>7</v>
      </c>
      <c r="C585" s="32">
        <v>583</v>
      </c>
      <c r="D585" s="32">
        <v>60</v>
      </c>
      <c r="E585" s="32">
        <v>60</v>
      </c>
      <c r="F585" s="32">
        <v>60</v>
      </c>
      <c r="G585" s="32">
        <v>60</v>
      </c>
      <c r="H585" s="32">
        <v>60</v>
      </c>
      <c r="I585" s="32">
        <v>60</v>
      </c>
      <c r="J585" s="32">
        <v>60</v>
      </c>
      <c r="K585" s="32">
        <v>60</v>
      </c>
      <c r="L585" s="32">
        <v>60</v>
      </c>
      <c r="M585" s="39">
        <v>48</v>
      </c>
      <c r="N585" s="43">
        <f t="shared" si="18"/>
        <v>10</v>
      </c>
      <c r="O585" s="33"/>
      <c r="P585" s="32">
        <v>7</v>
      </c>
      <c r="Q585" s="32">
        <v>583</v>
      </c>
      <c r="R585" s="32">
        <v>120</v>
      </c>
      <c r="S585" s="32">
        <v>120</v>
      </c>
      <c r="T585" s="32">
        <v>120</v>
      </c>
      <c r="U585" s="32">
        <v>120</v>
      </c>
      <c r="V585" s="32">
        <v>60</v>
      </c>
      <c r="W585" s="32">
        <v>48</v>
      </c>
      <c r="X585">
        <f t="shared" si="19"/>
        <v>6</v>
      </c>
      <c r="BK585" s="32">
        <v>583</v>
      </c>
      <c r="BL585">
        <v>25</v>
      </c>
      <c r="BM585">
        <v>5</v>
      </c>
    </row>
    <row r="586" spans="1:65" x14ac:dyDescent="0.45">
      <c r="A586" s="33"/>
      <c r="B586" s="32">
        <v>8</v>
      </c>
      <c r="C586" s="32">
        <v>584</v>
      </c>
      <c r="D586" s="32">
        <v>60</v>
      </c>
      <c r="E586" s="32">
        <v>60</v>
      </c>
      <c r="F586" s="32">
        <v>60</v>
      </c>
      <c r="G586" s="32">
        <v>60</v>
      </c>
      <c r="H586" s="32">
        <v>60</v>
      </c>
      <c r="I586" s="32">
        <v>60</v>
      </c>
      <c r="J586" s="32">
        <v>60</v>
      </c>
      <c r="K586" s="32">
        <v>60</v>
      </c>
      <c r="L586" s="32">
        <v>60</v>
      </c>
      <c r="M586" s="39">
        <v>48</v>
      </c>
      <c r="N586" s="43">
        <f t="shared" si="18"/>
        <v>10</v>
      </c>
      <c r="O586" s="33"/>
      <c r="P586" s="32">
        <v>8</v>
      </c>
      <c r="Q586" s="32">
        <v>584</v>
      </c>
      <c r="R586" s="32">
        <v>120</v>
      </c>
      <c r="S586" s="32">
        <v>120</v>
      </c>
      <c r="T586" s="32">
        <v>120</v>
      </c>
      <c r="U586" s="32">
        <v>120</v>
      </c>
      <c r="V586" s="32">
        <v>60</v>
      </c>
      <c r="W586" s="32">
        <v>48</v>
      </c>
      <c r="X586">
        <f t="shared" si="19"/>
        <v>6</v>
      </c>
      <c r="BK586" s="32">
        <v>584</v>
      </c>
      <c r="BL586">
        <v>25</v>
      </c>
      <c r="BM586">
        <v>5</v>
      </c>
    </row>
    <row r="587" spans="1:65" x14ac:dyDescent="0.45">
      <c r="A587" s="33"/>
      <c r="B587" s="32">
        <v>9</v>
      </c>
      <c r="C587" s="32">
        <v>585</v>
      </c>
      <c r="D587" s="32">
        <v>60</v>
      </c>
      <c r="E587" s="32">
        <v>60</v>
      </c>
      <c r="F587" s="32">
        <v>60</v>
      </c>
      <c r="G587" s="32">
        <v>60</v>
      </c>
      <c r="H587" s="32">
        <v>60</v>
      </c>
      <c r="I587" s="32">
        <v>60</v>
      </c>
      <c r="J587" s="32">
        <v>60</v>
      </c>
      <c r="K587" s="32">
        <v>60</v>
      </c>
      <c r="L587" s="32">
        <v>60</v>
      </c>
      <c r="M587" s="39">
        <v>48</v>
      </c>
      <c r="N587" s="43">
        <f t="shared" si="18"/>
        <v>10</v>
      </c>
      <c r="O587" s="33"/>
      <c r="P587" s="32">
        <v>9</v>
      </c>
      <c r="Q587" s="32">
        <v>585</v>
      </c>
      <c r="R587" s="32">
        <v>120</v>
      </c>
      <c r="S587" s="32">
        <v>120</v>
      </c>
      <c r="T587" s="32">
        <v>120</v>
      </c>
      <c r="U587" s="32">
        <v>120</v>
      </c>
      <c r="V587" s="32">
        <v>60</v>
      </c>
      <c r="W587" s="32">
        <v>48</v>
      </c>
      <c r="X587">
        <f t="shared" si="19"/>
        <v>6</v>
      </c>
      <c r="BK587" s="32">
        <v>585</v>
      </c>
      <c r="BL587">
        <v>25</v>
      </c>
      <c r="BM587">
        <v>5</v>
      </c>
    </row>
    <row r="588" spans="1:65" x14ac:dyDescent="0.45">
      <c r="A588" s="33"/>
      <c r="B588" s="32">
        <v>10</v>
      </c>
      <c r="C588" s="32">
        <v>586</v>
      </c>
      <c r="D588" s="32">
        <v>60</v>
      </c>
      <c r="E588" s="32">
        <v>60</v>
      </c>
      <c r="F588" s="32">
        <v>60</v>
      </c>
      <c r="G588" s="32">
        <v>60</v>
      </c>
      <c r="H588" s="32">
        <v>60</v>
      </c>
      <c r="I588" s="32">
        <v>60</v>
      </c>
      <c r="J588" s="32">
        <v>60</v>
      </c>
      <c r="K588" s="32">
        <v>60</v>
      </c>
      <c r="L588" s="32">
        <v>60</v>
      </c>
      <c r="M588" s="39">
        <v>48</v>
      </c>
      <c r="N588" s="43">
        <f t="shared" si="18"/>
        <v>10</v>
      </c>
      <c r="O588" s="33"/>
      <c r="P588" s="32">
        <v>10</v>
      </c>
      <c r="Q588" s="32">
        <v>586</v>
      </c>
      <c r="R588" s="32">
        <v>120</v>
      </c>
      <c r="S588" s="32">
        <v>120</v>
      </c>
      <c r="T588" s="32">
        <v>120</v>
      </c>
      <c r="U588" s="32">
        <v>120</v>
      </c>
      <c r="V588" s="32">
        <v>60</v>
      </c>
      <c r="W588" s="32">
        <v>48</v>
      </c>
      <c r="X588">
        <f t="shared" si="19"/>
        <v>6</v>
      </c>
      <c r="BK588" s="32">
        <v>586</v>
      </c>
      <c r="BL588">
        <v>25</v>
      </c>
      <c r="BM588">
        <v>5</v>
      </c>
    </row>
    <row r="589" spans="1:65" x14ac:dyDescent="0.45">
      <c r="A589" s="33"/>
      <c r="B589" s="32">
        <v>11</v>
      </c>
      <c r="C589" s="32">
        <v>587</v>
      </c>
      <c r="D589" s="32">
        <v>60</v>
      </c>
      <c r="E589" s="32">
        <v>60</v>
      </c>
      <c r="F589" s="32">
        <v>60</v>
      </c>
      <c r="G589" s="32">
        <v>60</v>
      </c>
      <c r="H589" s="32">
        <v>60</v>
      </c>
      <c r="I589" s="32">
        <v>60</v>
      </c>
      <c r="J589" s="32">
        <v>60</v>
      </c>
      <c r="K589" s="32">
        <v>60</v>
      </c>
      <c r="L589" s="32">
        <v>60</v>
      </c>
      <c r="M589" s="39">
        <v>48</v>
      </c>
      <c r="N589" s="43">
        <f t="shared" si="18"/>
        <v>10</v>
      </c>
      <c r="O589" s="33"/>
      <c r="P589" s="32">
        <v>11</v>
      </c>
      <c r="Q589" s="32">
        <v>587</v>
      </c>
      <c r="R589" s="32">
        <v>120</v>
      </c>
      <c r="S589" s="32">
        <v>120</v>
      </c>
      <c r="T589" s="32">
        <v>120</v>
      </c>
      <c r="U589" s="32">
        <v>120</v>
      </c>
      <c r="V589" s="32">
        <v>60</v>
      </c>
      <c r="W589" s="32">
        <v>48</v>
      </c>
      <c r="X589">
        <f t="shared" si="19"/>
        <v>6</v>
      </c>
      <c r="BK589" s="32">
        <v>587</v>
      </c>
      <c r="BL589">
        <v>25</v>
      </c>
      <c r="BM589">
        <v>5</v>
      </c>
    </row>
    <row r="590" spans="1:65" x14ac:dyDescent="0.45">
      <c r="A590" s="33">
        <v>49</v>
      </c>
      <c r="B590" s="32"/>
      <c r="C590" s="32">
        <v>588</v>
      </c>
      <c r="D590" s="32">
        <v>60</v>
      </c>
      <c r="E590" s="32">
        <v>60</v>
      </c>
      <c r="F590" s="32">
        <v>60</v>
      </c>
      <c r="G590" s="32">
        <v>60</v>
      </c>
      <c r="H590" s="32">
        <v>60</v>
      </c>
      <c r="I590" s="32">
        <v>60</v>
      </c>
      <c r="J590" s="32">
        <v>60</v>
      </c>
      <c r="K590" s="32">
        <v>60</v>
      </c>
      <c r="L590" s="32">
        <v>60</v>
      </c>
      <c r="M590" s="39">
        <v>48</v>
      </c>
      <c r="N590" s="43">
        <f t="shared" si="18"/>
        <v>10</v>
      </c>
      <c r="O590" s="33">
        <v>49</v>
      </c>
      <c r="P590" s="32"/>
      <c r="Q590" s="32">
        <v>588</v>
      </c>
      <c r="R590" s="32">
        <v>120</v>
      </c>
      <c r="S590" s="32">
        <v>120</v>
      </c>
      <c r="T590" s="32">
        <v>120</v>
      </c>
      <c r="U590" s="32">
        <v>120</v>
      </c>
      <c r="V590" s="32">
        <v>60</v>
      </c>
      <c r="W590" s="32">
        <v>48</v>
      </c>
      <c r="X590">
        <f t="shared" si="19"/>
        <v>6</v>
      </c>
      <c r="BK590" s="32">
        <v>588</v>
      </c>
      <c r="BL590">
        <v>25</v>
      </c>
      <c r="BM590">
        <v>5</v>
      </c>
    </row>
    <row r="591" spans="1:65" x14ac:dyDescent="0.45">
      <c r="A591" s="33"/>
      <c r="B591" s="32">
        <v>1</v>
      </c>
      <c r="C591" s="32">
        <v>589</v>
      </c>
      <c r="D591" s="32">
        <v>60</v>
      </c>
      <c r="E591" s="32">
        <v>60</v>
      </c>
      <c r="F591" s="32">
        <v>60</v>
      </c>
      <c r="G591" s="32">
        <v>60</v>
      </c>
      <c r="H591" s="32">
        <v>60</v>
      </c>
      <c r="I591" s="32">
        <v>60</v>
      </c>
      <c r="J591" s="32">
        <v>60</v>
      </c>
      <c r="K591" s="32">
        <v>60</v>
      </c>
      <c r="L591" s="32">
        <v>60</v>
      </c>
      <c r="M591" s="39">
        <v>60</v>
      </c>
      <c r="N591" s="43">
        <f t="shared" si="18"/>
        <v>10</v>
      </c>
      <c r="O591" s="33"/>
      <c r="P591" s="32">
        <v>1</v>
      </c>
      <c r="Q591" s="32">
        <v>589</v>
      </c>
      <c r="R591" s="32">
        <v>120</v>
      </c>
      <c r="S591" s="32">
        <v>120</v>
      </c>
      <c r="T591" s="32">
        <v>120</v>
      </c>
      <c r="U591" s="32">
        <v>120</v>
      </c>
      <c r="V591" s="32">
        <v>120</v>
      </c>
      <c r="W591" s="32"/>
      <c r="X591">
        <f t="shared" si="19"/>
        <v>5</v>
      </c>
      <c r="BK591" s="32">
        <v>589</v>
      </c>
      <c r="BL591">
        <v>25</v>
      </c>
      <c r="BM591">
        <v>5</v>
      </c>
    </row>
    <row r="592" spans="1:65" x14ac:dyDescent="0.45">
      <c r="A592" s="33"/>
      <c r="B592" s="32">
        <v>2</v>
      </c>
      <c r="C592" s="32">
        <v>590</v>
      </c>
      <c r="D592" s="32">
        <v>60</v>
      </c>
      <c r="E592" s="32">
        <v>60</v>
      </c>
      <c r="F592" s="32">
        <v>60</v>
      </c>
      <c r="G592" s="32">
        <v>60</v>
      </c>
      <c r="H592" s="32">
        <v>60</v>
      </c>
      <c r="I592" s="32">
        <v>60</v>
      </c>
      <c r="J592" s="32">
        <v>60</v>
      </c>
      <c r="K592" s="32">
        <v>60</v>
      </c>
      <c r="L592" s="32">
        <v>60</v>
      </c>
      <c r="M592" s="39">
        <v>60</v>
      </c>
      <c r="N592" s="43">
        <f t="shared" si="18"/>
        <v>10</v>
      </c>
      <c r="O592" s="33"/>
      <c r="P592" s="32">
        <v>2</v>
      </c>
      <c r="Q592" s="32">
        <v>590</v>
      </c>
      <c r="R592" s="32">
        <v>120</v>
      </c>
      <c r="S592" s="32">
        <v>120</v>
      </c>
      <c r="T592" s="32">
        <v>120</v>
      </c>
      <c r="U592" s="32">
        <v>120</v>
      </c>
      <c r="V592" s="32">
        <v>120</v>
      </c>
      <c r="W592" s="32"/>
      <c r="X592">
        <f t="shared" si="19"/>
        <v>5</v>
      </c>
      <c r="BK592" s="32">
        <v>590</v>
      </c>
      <c r="BL592">
        <v>25</v>
      </c>
      <c r="BM592">
        <v>5</v>
      </c>
    </row>
    <row r="593" spans="1:65" x14ac:dyDescent="0.45">
      <c r="A593" s="33"/>
      <c r="B593" s="32">
        <v>3</v>
      </c>
      <c r="C593" s="32">
        <v>591</v>
      </c>
      <c r="D593" s="32">
        <v>60</v>
      </c>
      <c r="E593" s="32">
        <v>60</v>
      </c>
      <c r="F593" s="32">
        <v>60</v>
      </c>
      <c r="G593" s="32">
        <v>60</v>
      </c>
      <c r="H593" s="32">
        <v>60</v>
      </c>
      <c r="I593" s="32">
        <v>60</v>
      </c>
      <c r="J593" s="32">
        <v>60</v>
      </c>
      <c r="K593" s="32">
        <v>60</v>
      </c>
      <c r="L593" s="32">
        <v>60</v>
      </c>
      <c r="M593" s="39">
        <v>60</v>
      </c>
      <c r="N593" s="43">
        <f t="shared" si="18"/>
        <v>10</v>
      </c>
      <c r="O593" s="33"/>
      <c r="P593" s="32">
        <v>3</v>
      </c>
      <c r="Q593" s="32">
        <v>591</v>
      </c>
      <c r="R593" s="32">
        <v>120</v>
      </c>
      <c r="S593" s="32">
        <v>120</v>
      </c>
      <c r="T593" s="32">
        <v>120</v>
      </c>
      <c r="U593" s="32">
        <v>120</v>
      </c>
      <c r="V593" s="32">
        <v>120</v>
      </c>
      <c r="W593" s="32"/>
      <c r="X593">
        <f t="shared" si="19"/>
        <v>5</v>
      </c>
      <c r="BK593" s="32">
        <v>591</v>
      </c>
      <c r="BL593">
        <v>25</v>
      </c>
      <c r="BM593">
        <v>5</v>
      </c>
    </row>
    <row r="594" spans="1:65" x14ac:dyDescent="0.45">
      <c r="A594" s="33"/>
      <c r="B594" s="32">
        <v>4</v>
      </c>
      <c r="C594" s="32">
        <v>592</v>
      </c>
      <c r="D594" s="32">
        <v>60</v>
      </c>
      <c r="E594" s="32">
        <v>60</v>
      </c>
      <c r="F594" s="32">
        <v>60</v>
      </c>
      <c r="G594" s="32">
        <v>60</v>
      </c>
      <c r="H594" s="32">
        <v>60</v>
      </c>
      <c r="I594" s="32">
        <v>60</v>
      </c>
      <c r="J594" s="32">
        <v>60</v>
      </c>
      <c r="K594" s="32">
        <v>60</v>
      </c>
      <c r="L594" s="32">
        <v>60</v>
      </c>
      <c r="M594" s="39">
        <v>60</v>
      </c>
      <c r="N594" s="43">
        <f t="shared" si="18"/>
        <v>10</v>
      </c>
      <c r="O594" s="33"/>
      <c r="P594" s="32">
        <v>4</v>
      </c>
      <c r="Q594" s="32">
        <v>592</v>
      </c>
      <c r="R594" s="32">
        <v>120</v>
      </c>
      <c r="S594" s="32">
        <v>120</v>
      </c>
      <c r="T594" s="32">
        <v>120</v>
      </c>
      <c r="U594" s="32">
        <v>120</v>
      </c>
      <c r="V594" s="32">
        <v>120</v>
      </c>
      <c r="W594" s="32"/>
      <c r="X594">
        <f t="shared" si="19"/>
        <v>5</v>
      </c>
      <c r="BK594" s="32">
        <v>592</v>
      </c>
      <c r="BL594">
        <v>25</v>
      </c>
      <c r="BM594">
        <v>5</v>
      </c>
    </row>
    <row r="595" spans="1:65" x14ac:dyDescent="0.45">
      <c r="A595" s="33"/>
      <c r="B595" s="32">
        <v>5</v>
      </c>
      <c r="C595" s="32">
        <v>593</v>
      </c>
      <c r="D595" s="32">
        <v>60</v>
      </c>
      <c r="E595" s="32">
        <v>60</v>
      </c>
      <c r="F595" s="32">
        <v>60</v>
      </c>
      <c r="G595" s="32">
        <v>60</v>
      </c>
      <c r="H595" s="32">
        <v>60</v>
      </c>
      <c r="I595" s="32">
        <v>60</v>
      </c>
      <c r="J595" s="32">
        <v>60</v>
      </c>
      <c r="K595" s="32">
        <v>60</v>
      </c>
      <c r="L595" s="32">
        <v>60</v>
      </c>
      <c r="M595" s="39">
        <v>60</v>
      </c>
      <c r="N595" s="43">
        <f t="shared" si="18"/>
        <v>10</v>
      </c>
      <c r="O595" s="33"/>
      <c r="P595" s="32">
        <v>5</v>
      </c>
      <c r="Q595" s="32">
        <v>593</v>
      </c>
      <c r="R595" s="32">
        <v>120</v>
      </c>
      <c r="S595" s="32">
        <v>120</v>
      </c>
      <c r="T595" s="32">
        <v>120</v>
      </c>
      <c r="U595" s="32">
        <v>120</v>
      </c>
      <c r="V595" s="32">
        <v>120</v>
      </c>
      <c r="W595" s="32"/>
      <c r="X595">
        <f t="shared" si="19"/>
        <v>5</v>
      </c>
      <c r="BK595" s="32">
        <v>593</v>
      </c>
      <c r="BL595">
        <v>25</v>
      </c>
      <c r="BM595">
        <v>5</v>
      </c>
    </row>
    <row r="596" spans="1:65" x14ac:dyDescent="0.45">
      <c r="A596" s="33"/>
      <c r="B596" s="32">
        <v>6</v>
      </c>
      <c r="C596" s="32">
        <v>594</v>
      </c>
      <c r="D596" s="32">
        <v>60</v>
      </c>
      <c r="E596" s="32">
        <v>60</v>
      </c>
      <c r="F596" s="32">
        <v>60</v>
      </c>
      <c r="G596" s="32">
        <v>60</v>
      </c>
      <c r="H596" s="32">
        <v>60</v>
      </c>
      <c r="I596" s="32">
        <v>60</v>
      </c>
      <c r="J596" s="32">
        <v>60</v>
      </c>
      <c r="K596" s="32">
        <v>60</v>
      </c>
      <c r="L596" s="32">
        <v>60</v>
      </c>
      <c r="M596" s="39">
        <v>60</v>
      </c>
      <c r="N596" s="43">
        <f t="shared" si="18"/>
        <v>10</v>
      </c>
      <c r="O596" s="33"/>
      <c r="P596" s="32">
        <v>6</v>
      </c>
      <c r="Q596" s="32">
        <v>594</v>
      </c>
      <c r="R596" s="32">
        <v>120</v>
      </c>
      <c r="S596" s="32">
        <v>120</v>
      </c>
      <c r="T596" s="32">
        <v>120</v>
      </c>
      <c r="U596" s="32">
        <v>120</v>
      </c>
      <c r="V596" s="32">
        <v>120</v>
      </c>
      <c r="W596" s="32"/>
      <c r="X596">
        <f t="shared" si="19"/>
        <v>5</v>
      </c>
      <c r="BK596" s="32">
        <v>594</v>
      </c>
      <c r="BL596">
        <v>25</v>
      </c>
      <c r="BM596">
        <v>5</v>
      </c>
    </row>
    <row r="597" spans="1:65" x14ac:dyDescent="0.45">
      <c r="A597" s="33"/>
      <c r="B597" s="32">
        <v>7</v>
      </c>
      <c r="C597" s="32">
        <v>595</v>
      </c>
      <c r="D597" s="32">
        <v>60</v>
      </c>
      <c r="E597" s="32">
        <v>60</v>
      </c>
      <c r="F597" s="32">
        <v>60</v>
      </c>
      <c r="G597" s="32">
        <v>60</v>
      </c>
      <c r="H597" s="32">
        <v>60</v>
      </c>
      <c r="I597" s="32">
        <v>60</v>
      </c>
      <c r="J597" s="32">
        <v>60</v>
      </c>
      <c r="K597" s="32">
        <v>60</v>
      </c>
      <c r="L597" s="32">
        <v>60</v>
      </c>
      <c r="M597" s="39">
        <v>60</v>
      </c>
      <c r="N597" s="43">
        <f t="shared" si="18"/>
        <v>10</v>
      </c>
      <c r="O597" s="33"/>
      <c r="P597" s="32">
        <v>7</v>
      </c>
      <c r="Q597" s="32">
        <v>595</v>
      </c>
      <c r="R597" s="32">
        <v>120</v>
      </c>
      <c r="S597" s="32">
        <v>120</v>
      </c>
      <c r="T597" s="32">
        <v>120</v>
      </c>
      <c r="U597" s="32">
        <v>120</v>
      </c>
      <c r="V597" s="32">
        <v>120</v>
      </c>
      <c r="W597" s="32"/>
      <c r="X597">
        <f t="shared" si="19"/>
        <v>5</v>
      </c>
      <c r="BK597" s="32">
        <v>595</v>
      </c>
      <c r="BL597">
        <v>25</v>
      </c>
      <c r="BM597">
        <v>5</v>
      </c>
    </row>
    <row r="598" spans="1:65" x14ac:dyDescent="0.45">
      <c r="A598" s="33"/>
      <c r="B598" s="32">
        <v>8</v>
      </c>
      <c r="C598" s="32">
        <v>596</v>
      </c>
      <c r="D598" s="32">
        <v>60</v>
      </c>
      <c r="E598" s="32">
        <v>60</v>
      </c>
      <c r="F598" s="32">
        <v>60</v>
      </c>
      <c r="G598" s="32">
        <v>60</v>
      </c>
      <c r="H598" s="32">
        <v>60</v>
      </c>
      <c r="I598" s="32">
        <v>60</v>
      </c>
      <c r="J598" s="32">
        <v>60</v>
      </c>
      <c r="K598" s="32">
        <v>60</v>
      </c>
      <c r="L598" s="32">
        <v>60</v>
      </c>
      <c r="M598" s="39">
        <v>60</v>
      </c>
      <c r="N598" s="43">
        <f t="shared" si="18"/>
        <v>10</v>
      </c>
      <c r="O598" s="33"/>
      <c r="P598" s="32">
        <v>8</v>
      </c>
      <c r="Q598" s="32">
        <v>596</v>
      </c>
      <c r="R598" s="32">
        <v>120</v>
      </c>
      <c r="S598" s="32">
        <v>120</v>
      </c>
      <c r="T598" s="32">
        <v>120</v>
      </c>
      <c r="U598" s="32">
        <v>120</v>
      </c>
      <c r="V598" s="32">
        <v>120</v>
      </c>
      <c r="W598" s="32"/>
      <c r="X598">
        <f t="shared" si="19"/>
        <v>5</v>
      </c>
      <c r="BK598" s="32">
        <v>596</v>
      </c>
      <c r="BL598">
        <v>25</v>
      </c>
      <c r="BM598">
        <v>5</v>
      </c>
    </row>
    <row r="599" spans="1:65" x14ac:dyDescent="0.45">
      <c r="A599" s="33"/>
      <c r="B599" s="32">
        <v>9</v>
      </c>
      <c r="C599" s="32">
        <v>597</v>
      </c>
      <c r="D599" s="32">
        <v>60</v>
      </c>
      <c r="E599" s="32">
        <v>60</v>
      </c>
      <c r="F599" s="32">
        <v>60</v>
      </c>
      <c r="G599" s="32">
        <v>60</v>
      </c>
      <c r="H599" s="32">
        <v>60</v>
      </c>
      <c r="I599" s="32">
        <v>60</v>
      </c>
      <c r="J599" s="32">
        <v>60</v>
      </c>
      <c r="K599" s="32">
        <v>60</v>
      </c>
      <c r="L599" s="32">
        <v>60</v>
      </c>
      <c r="M599" s="39">
        <v>60</v>
      </c>
      <c r="N599" s="43">
        <f t="shared" si="18"/>
        <v>10</v>
      </c>
      <c r="O599" s="33"/>
      <c r="P599" s="32">
        <v>9</v>
      </c>
      <c r="Q599" s="32">
        <v>597</v>
      </c>
      <c r="R599" s="32">
        <v>120</v>
      </c>
      <c r="S599" s="32">
        <v>120</v>
      </c>
      <c r="T599" s="32">
        <v>120</v>
      </c>
      <c r="U599" s="32">
        <v>120</v>
      </c>
      <c r="V599" s="32">
        <v>120</v>
      </c>
      <c r="W599" s="32"/>
      <c r="X599">
        <f t="shared" si="19"/>
        <v>5</v>
      </c>
      <c r="BK599" s="32">
        <v>597</v>
      </c>
      <c r="BL599">
        <v>25</v>
      </c>
      <c r="BM599">
        <v>5</v>
      </c>
    </row>
    <row r="600" spans="1:65" x14ac:dyDescent="0.45">
      <c r="A600" s="33"/>
      <c r="B600" s="32">
        <v>10</v>
      </c>
      <c r="C600" s="32">
        <v>598</v>
      </c>
      <c r="D600" s="32">
        <v>60</v>
      </c>
      <c r="E600" s="32">
        <v>60</v>
      </c>
      <c r="F600" s="32">
        <v>60</v>
      </c>
      <c r="G600" s="32">
        <v>60</v>
      </c>
      <c r="H600" s="32">
        <v>60</v>
      </c>
      <c r="I600" s="32">
        <v>60</v>
      </c>
      <c r="J600" s="32">
        <v>60</v>
      </c>
      <c r="K600" s="32">
        <v>60</v>
      </c>
      <c r="L600" s="32">
        <v>60</v>
      </c>
      <c r="M600" s="39">
        <v>60</v>
      </c>
      <c r="N600" s="43">
        <f t="shared" si="18"/>
        <v>10</v>
      </c>
      <c r="O600" s="33"/>
      <c r="P600" s="32">
        <v>10</v>
      </c>
      <c r="Q600" s="32">
        <v>598</v>
      </c>
      <c r="R600" s="32">
        <v>120</v>
      </c>
      <c r="S600" s="32">
        <v>120</v>
      </c>
      <c r="T600" s="32">
        <v>120</v>
      </c>
      <c r="U600" s="32">
        <v>120</v>
      </c>
      <c r="V600" s="32">
        <v>120</v>
      </c>
      <c r="W600" s="32"/>
      <c r="X600">
        <f t="shared" si="19"/>
        <v>5</v>
      </c>
      <c r="BK600" s="32">
        <v>598</v>
      </c>
      <c r="BL600">
        <v>25</v>
      </c>
      <c r="BM600">
        <v>5</v>
      </c>
    </row>
    <row r="601" spans="1:65" x14ac:dyDescent="0.45">
      <c r="A601" s="33"/>
      <c r="B601" s="32">
        <v>11</v>
      </c>
      <c r="C601" s="32">
        <v>599</v>
      </c>
      <c r="D601" s="32">
        <v>60</v>
      </c>
      <c r="E601" s="32">
        <v>60</v>
      </c>
      <c r="F601" s="32">
        <v>60</v>
      </c>
      <c r="G601" s="32">
        <v>60</v>
      </c>
      <c r="H601" s="32">
        <v>60</v>
      </c>
      <c r="I601" s="32">
        <v>60</v>
      </c>
      <c r="J601" s="32">
        <v>60</v>
      </c>
      <c r="K601" s="32">
        <v>60</v>
      </c>
      <c r="L601" s="32">
        <v>60</v>
      </c>
      <c r="M601" s="39">
        <v>60</v>
      </c>
      <c r="N601" s="43">
        <f t="shared" si="18"/>
        <v>10</v>
      </c>
      <c r="O601" s="33"/>
      <c r="P601" s="32">
        <v>11</v>
      </c>
      <c r="Q601" s="32">
        <v>599</v>
      </c>
      <c r="R601" s="32">
        <v>120</v>
      </c>
      <c r="S601" s="32">
        <v>120</v>
      </c>
      <c r="T601" s="32">
        <v>120</v>
      </c>
      <c r="U601" s="32">
        <v>120</v>
      </c>
      <c r="V601" s="32">
        <v>120</v>
      </c>
      <c r="W601" s="32"/>
      <c r="X601">
        <f t="shared" si="19"/>
        <v>5</v>
      </c>
      <c r="BK601" s="32">
        <v>599</v>
      </c>
      <c r="BL601">
        <v>25</v>
      </c>
      <c r="BM601">
        <v>5</v>
      </c>
    </row>
    <row r="602" spans="1:65" ht="14.65" thickBot="1" x14ac:dyDescent="0.5">
      <c r="B602" s="34"/>
      <c r="C602" s="34">
        <v>600</v>
      </c>
      <c r="D602" s="34">
        <v>60</v>
      </c>
      <c r="E602" s="34">
        <v>60</v>
      </c>
      <c r="F602" s="34">
        <v>60</v>
      </c>
      <c r="G602" s="34">
        <v>60</v>
      </c>
      <c r="H602" s="34">
        <v>60</v>
      </c>
      <c r="I602" s="34">
        <v>60</v>
      </c>
      <c r="J602" s="34">
        <v>60</v>
      </c>
      <c r="K602" s="34">
        <v>60</v>
      </c>
      <c r="L602" s="34">
        <v>60</v>
      </c>
      <c r="M602" s="40">
        <v>60</v>
      </c>
      <c r="N602" s="43">
        <f t="shared" si="18"/>
        <v>10</v>
      </c>
      <c r="P602" s="34"/>
      <c r="Q602" s="34">
        <v>600</v>
      </c>
      <c r="R602" s="32">
        <v>120</v>
      </c>
      <c r="S602" s="32">
        <v>120</v>
      </c>
      <c r="T602" s="32">
        <v>120</v>
      </c>
      <c r="U602" s="32">
        <v>120</v>
      </c>
      <c r="V602" s="32">
        <v>120</v>
      </c>
      <c r="W602" s="32"/>
      <c r="X602">
        <f t="shared" si="19"/>
        <v>5</v>
      </c>
      <c r="BK602" s="34">
        <v>600</v>
      </c>
      <c r="BL602">
        <v>25</v>
      </c>
      <c r="BM602">
        <v>5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27BA-21D7-4B1E-B682-177220E33D34}">
  <sheetPr codeName="Sheet6"/>
  <dimension ref="A1:AA47"/>
  <sheetViews>
    <sheetView topLeftCell="A2" workbookViewId="0">
      <selection activeCell="B11" sqref="B11"/>
    </sheetView>
  </sheetViews>
  <sheetFormatPr defaultRowHeight="14.25" x14ac:dyDescent="0.45"/>
  <cols>
    <col min="1" max="1" width="9.59765625" bestFit="1" customWidth="1"/>
    <col min="2" max="4" width="11.59765625" bestFit="1" customWidth="1"/>
    <col min="5" max="6" width="12.59765625" bestFit="1" customWidth="1"/>
  </cols>
  <sheetData>
    <row r="1" spans="1:16" x14ac:dyDescent="0.45">
      <c r="B1" t="s">
        <v>80</v>
      </c>
      <c r="C1" t="s">
        <v>82</v>
      </c>
      <c r="D1" t="s">
        <v>83</v>
      </c>
      <c r="E1" t="s">
        <v>84</v>
      </c>
      <c r="F1" t="s">
        <v>90</v>
      </c>
      <c r="G1" t="s">
        <v>85</v>
      </c>
      <c r="H1" t="s">
        <v>86</v>
      </c>
      <c r="I1" t="s">
        <v>87</v>
      </c>
      <c r="J1" t="s">
        <v>88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</row>
    <row r="2" spans="1:16" x14ac:dyDescent="0.45">
      <c r="A2" s="36">
        <v>0.1875</v>
      </c>
      <c r="B2">
        <v>3</v>
      </c>
      <c r="C2">
        <v>3</v>
      </c>
      <c r="D2">
        <v>3</v>
      </c>
      <c r="E2">
        <v>3.5</v>
      </c>
      <c r="F2">
        <v>5</v>
      </c>
      <c r="G2">
        <v>5</v>
      </c>
      <c r="H2">
        <v>7</v>
      </c>
      <c r="I2">
        <v>8</v>
      </c>
      <c r="J2">
        <v>10</v>
      </c>
      <c r="K2">
        <v>12</v>
      </c>
      <c r="L2">
        <v>13</v>
      </c>
      <c r="M2">
        <v>14</v>
      </c>
      <c r="N2">
        <v>16</v>
      </c>
      <c r="O2">
        <v>18</v>
      </c>
      <c r="P2">
        <v>22</v>
      </c>
    </row>
    <row r="3" spans="1:16" x14ac:dyDescent="0.45">
      <c r="A3" s="36">
        <v>0.25</v>
      </c>
      <c r="B3">
        <v>3</v>
      </c>
      <c r="C3">
        <v>3</v>
      </c>
      <c r="D3">
        <v>3</v>
      </c>
      <c r="E3">
        <v>3.5</v>
      </c>
      <c r="F3">
        <v>5</v>
      </c>
      <c r="G3">
        <v>5</v>
      </c>
      <c r="H3">
        <v>7</v>
      </c>
      <c r="I3">
        <v>8</v>
      </c>
      <c r="J3">
        <v>10</v>
      </c>
      <c r="K3">
        <v>12</v>
      </c>
      <c r="L3">
        <v>13</v>
      </c>
      <c r="M3">
        <v>14</v>
      </c>
      <c r="N3">
        <v>16</v>
      </c>
      <c r="O3">
        <v>18</v>
      </c>
      <c r="P3">
        <v>22</v>
      </c>
    </row>
    <row r="4" spans="1:16" x14ac:dyDescent="0.45">
      <c r="A4" s="36">
        <v>0.3125</v>
      </c>
      <c r="B4">
        <v>3</v>
      </c>
      <c r="C4">
        <v>3</v>
      </c>
      <c r="D4">
        <v>3</v>
      </c>
      <c r="E4">
        <v>3.5</v>
      </c>
      <c r="F4">
        <v>5</v>
      </c>
      <c r="G4">
        <v>5</v>
      </c>
      <c r="H4">
        <v>7</v>
      </c>
      <c r="I4">
        <v>8</v>
      </c>
      <c r="J4">
        <v>10</v>
      </c>
      <c r="K4">
        <v>12</v>
      </c>
      <c r="L4">
        <v>13</v>
      </c>
      <c r="M4">
        <v>14</v>
      </c>
      <c r="N4">
        <v>16</v>
      </c>
      <c r="O4">
        <v>18</v>
      </c>
      <c r="P4">
        <v>22</v>
      </c>
    </row>
    <row r="5" spans="1:16" x14ac:dyDescent="0.45">
      <c r="A5" s="36">
        <v>0.375</v>
      </c>
      <c r="B5">
        <v>3.3</v>
      </c>
      <c r="C5">
        <v>3.3</v>
      </c>
      <c r="D5">
        <v>3.3</v>
      </c>
      <c r="E5">
        <v>4</v>
      </c>
      <c r="F5">
        <v>5.5</v>
      </c>
      <c r="G5">
        <v>5.5</v>
      </c>
      <c r="H5">
        <v>7.5</v>
      </c>
      <c r="I5">
        <v>8.5</v>
      </c>
      <c r="J5">
        <v>10.5</v>
      </c>
      <c r="K5">
        <v>13</v>
      </c>
      <c r="L5">
        <v>15</v>
      </c>
      <c r="M5">
        <v>16</v>
      </c>
      <c r="N5">
        <v>18</v>
      </c>
      <c r="O5">
        <v>20</v>
      </c>
      <c r="P5">
        <v>24</v>
      </c>
    </row>
    <row r="6" spans="1:16" x14ac:dyDescent="0.45">
      <c r="A6" s="36">
        <v>0.5</v>
      </c>
      <c r="B6">
        <v>4</v>
      </c>
      <c r="C6">
        <v>4</v>
      </c>
      <c r="D6">
        <v>4</v>
      </c>
      <c r="E6">
        <v>5.5</v>
      </c>
      <c r="F6">
        <v>7.5</v>
      </c>
      <c r="G6">
        <v>7.5</v>
      </c>
      <c r="H6">
        <v>9</v>
      </c>
      <c r="I6">
        <v>11</v>
      </c>
      <c r="J6">
        <v>13.5</v>
      </c>
      <c r="K6">
        <v>17</v>
      </c>
      <c r="L6">
        <v>20</v>
      </c>
      <c r="M6">
        <v>22</v>
      </c>
      <c r="N6">
        <v>25</v>
      </c>
      <c r="O6">
        <v>26</v>
      </c>
      <c r="P6">
        <v>32</v>
      </c>
    </row>
    <row r="9" spans="1:16" x14ac:dyDescent="0.45">
      <c r="A9" t="s">
        <v>375</v>
      </c>
      <c r="L9" s="68"/>
      <c r="M9" s="69"/>
      <c r="N9" s="68"/>
    </row>
    <row r="10" spans="1:16" x14ac:dyDescent="0.45">
      <c r="B10" s="36">
        <v>0.1875</v>
      </c>
      <c r="C10" s="36">
        <v>0.25</v>
      </c>
      <c r="D10" s="36">
        <v>0.3125</v>
      </c>
      <c r="E10" s="36">
        <v>0.375</v>
      </c>
      <c r="F10" s="36">
        <v>0.5</v>
      </c>
      <c r="G10" s="36"/>
      <c r="H10" s="36"/>
      <c r="L10" s="68"/>
      <c r="M10" s="69"/>
      <c r="N10" s="68"/>
    </row>
    <row r="11" spans="1:16" x14ac:dyDescent="0.45">
      <c r="A11">
        <v>14</v>
      </c>
      <c r="B11" s="67" t="e" cm="1">
        <f t="array" ref="B11">12*44*IF(MAIN!$G$4="sa36",7.66,8.58)/144*_xlfn.IFS(MAIN!$G$4="sa36",[1]Plate!$C$31,MAIN!G4=304,[1]Plate!$I$4,MAIN!$G$4=316,[1]Plate!$O$4)</f>
        <v>#N/A</v>
      </c>
      <c r="C11" s="67" t="e" cm="1">
        <f t="array" ref="C11">12*44*IF(MAIN!$G$4="sa36",10.21,11.16)/144*_xlfn.IFS(MAIN!$G$4="sa36",[1]Plate!$C$32,MAIN!G4=304,[1]Plate!$I$5,MAIN!$G$4=316,[1]Plate!$O$5)</f>
        <v>#N/A</v>
      </c>
      <c r="D11" s="67" t="e" cm="1">
        <f t="array" ref="D11">12*44*IF(MAIN!$G$4="sa36",12.76,13.75)/144*_xlfn.IFS(MAIN!$G$4="sa36",[1]Plate!$C$33,MAIN!G4=304,[1]Plate!$I$6,MAIN!$G$4=316,[1]Plate!$O$6)</f>
        <v>#N/A</v>
      </c>
      <c r="E11" s="67" t="e" cm="1">
        <f t="array" ref="E11">12*44*IF(MAIN!$G$4="sa36",15.32,16.5)/144*_xlfn.IFS(MAIN!$G$4="sa36",[1]Plate!$C$34,MAIN!G4=304,[1]Plate!$I$7,MAIN!$G$4=316,[1]Plate!$O$7)</f>
        <v>#N/A</v>
      </c>
      <c r="F11" s="67" t="e" cm="1">
        <f t="array" ref="F11">12*44*IF(MAIN!$G$4="sa36",20.42,21.66)/144*_xlfn.IFS(MAIN!$G$4="sa36",[1]Plate!$C$35,MAIN!G4=304,[1]Plate!$I$8,MAIN!$G$4=316,[1]Plate!$O$8)</f>
        <v>#N/A</v>
      </c>
      <c r="L11" s="68"/>
      <c r="M11" s="69"/>
      <c r="N11" s="68"/>
    </row>
    <row r="12" spans="1:16" x14ac:dyDescent="0.45">
      <c r="A12">
        <v>16</v>
      </c>
      <c r="B12" s="67" t="e" cm="1">
        <f t="array" ref="B12">12*51*IF(MAIN!$G$4="sa36",7.66,8.58)/144*_xlfn.IFS(MAIN!$G$4="sa36",[1]Plate!$C$31,MAIN!G4=304,[1]Plate!$I$4,MAIN!$G$4=316,[1]Plate!$O$4)</f>
        <v>#N/A</v>
      </c>
      <c r="C12" s="67" t="e" cm="1">
        <f t="array" ref="C12">12*51*IF(MAIN!$G$4="sa36",10.21,11.16)/144*_xlfn.IFS(MAIN!$G$4="sa36",[1]Plate!$C$32,MAIN!G4=304,[1]Plate!$I$5,MAIN!$G$4=316,[1]Plate!$O$5)</f>
        <v>#N/A</v>
      </c>
      <c r="D12" s="67" t="e" cm="1">
        <f t="array" ref="D12">12*51*IF(MAIN!$G$4="sa36",12.76,13.75)/144*_xlfn.IFS(MAIN!$G$4="sa36",[1]Plate!$C$33,MAIN!G4=304,[1]Plate!$I$6,MAIN!$G$4=316,[1]Plate!$O$6)</f>
        <v>#N/A</v>
      </c>
      <c r="E12" s="67" t="e" cm="1">
        <f t="array" ref="E12">12*51*IF(MAIN!$G$4="sa36",15.32,16.5)/144*_xlfn.IFS(MAIN!$G$4="sa36",[1]Plate!$C$34,MAIN!G4=304,[1]Plate!$I$7,MAIN!$G$4=316,[1]Plate!$O$7)</f>
        <v>#N/A</v>
      </c>
      <c r="F12" s="67" t="e" cm="1">
        <f t="array" ref="F12">12*51*IF(MAIN!$G$4="sa36",20.42,21.66)/144*_xlfn.IFS(MAIN!$G$4="sa36",[1]Plate!$C$35,MAIN!G4=304,[1]Plate!$I$8,MAIN!$G$4=316,[1]Plate!$O$8)</f>
        <v>#N/A</v>
      </c>
      <c r="L12" s="16">
        <v>20</v>
      </c>
      <c r="M12" s="15">
        <v>1</v>
      </c>
      <c r="N12" s="16" t="s">
        <v>384</v>
      </c>
    </row>
    <row r="13" spans="1:16" x14ac:dyDescent="0.45">
      <c r="A13">
        <v>18</v>
      </c>
      <c r="B13" s="67" t="e" cm="1">
        <f t="array" ref="B13">12*57*IF(MAIN!$G$4="sa36",7.66,8.58)/144*_xlfn.IFS(MAIN!$G$4="sa36",[1]Plate!$C$31,MAIN!G4=304,[1]Plate!$I$4,MAIN!$G$4=316,[1]Plate!$O$4)</f>
        <v>#N/A</v>
      </c>
      <c r="C13" s="67" t="e" cm="1">
        <f t="array" ref="C13">12*57*IF(MAIN!$G$4="sa36",10.21,11.16)/144*_xlfn.IFS(MAIN!$G$4="sa36",[1]Plate!$C$32,MAIN!G4=304,[1]Plate!$I$5,MAIN!$G$4=316,[1]Plate!$O$5)</f>
        <v>#N/A</v>
      </c>
      <c r="D13" s="67" t="e" cm="1">
        <f t="array" ref="D13">12*57*IF(MAIN!$G$4="sa36",12.76,13.75)/144*_xlfn.IFS(MAIN!$G$4="sa36",[1]Plate!$C$33,MAIN!G4=304,[1]Plate!$I$6,MAIN!$G$4=316,[1]Plate!$O$6)</f>
        <v>#N/A</v>
      </c>
      <c r="E13" s="67" t="e" cm="1">
        <f t="array" ref="E13">12*57*IF(MAIN!$G$4="sa36",15.32,16.5)/144*_xlfn.IFS(MAIN!$G$4="sa36",[1]Plate!$C$34,MAIN!G4=304,[1]Plate!$I$7,MAIN!$G$4=316,[1]Plate!$O$7)</f>
        <v>#N/A</v>
      </c>
      <c r="F13" s="67" t="e" cm="1">
        <f t="array" ref="F13">12*57*IF(MAIN!$G$4="sa36",20.42,21.66)/144*_xlfn.IFS(MAIN!$G$4="sa36",[1]Plate!$C$35,MAIN!G4=304,[1]Plate!$I$8,MAIN!$G$4=316,[1]Plate!$O$8)</f>
        <v>#N/A</v>
      </c>
      <c r="L13" s="16">
        <v>24</v>
      </c>
      <c r="M13" s="15">
        <v>1</v>
      </c>
      <c r="N13" s="16" t="s">
        <v>385</v>
      </c>
    </row>
    <row r="14" spans="1:16" x14ac:dyDescent="0.45">
      <c r="A14">
        <v>20</v>
      </c>
      <c r="B14" s="67" t="e" cm="1">
        <f t="array" ref="B14">12*63*IF(MAIN!$G$4="sa36",7.66,8.58)/144*_xlfn.IFS(MAIN!$G$4="sa36",[1]Plate!$C$31,MAIN!G4=304,[1]Plate!$I$4,MAIN!$G$4=316,[1]Plate!$O$4)</f>
        <v>#N/A</v>
      </c>
      <c r="C14" s="67" t="e" cm="1">
        <f t="array" ref="C14">12*63*IF(MAIN!$G$4="sa36",10.21,11.16)/144*_xlfn.IFS(MAIN!$G$4="sa36",[1]Plate!$C$32,MAIN!G4=304,[1]Plate!$I$5,MAIN!$G$4=316,[1]Plate!$O$5)</f>
        <v>#N/A</v>
      </c>
      <c r="D14" s="67" t="e" cm="1">
        <f t="array" ref="D14">12*63*IF(MAIN!$G$4="sa36",12.76,13.75)/144*_xlfn.IFS(MAIN!$G$4="sa36",[1]Plate!$C$33,MAIN!G4=304,[1]Plate!$I$6,MAIN!$G$4=316,[1]Plate!$O$6)</f>
        <v>#N/A</v>
      </c>
      <c r="E14" s="67" t="e" cm="1">
        <f t="array" ref="E14">12*63*IF(MAIN!$G$4="sa36",15.32,16.5)/144*_xlfn.IFS(MAIN!$G$4="sa36",[1]Plate!$C$34,MAIN!G4=304,[1]Plate!$I$7,MAIN!$G$4=316,[1]Plate!$O$7)</f>
        <v>#N/A</v>
      </c>
      <c r="F14" s="67" t="e" cm="1">
        <f t="array" ref="F14">12*63*IF(MAIN!$G$4="sa36",20.42,21.66)/144*_xlfn.IFS(MAIN!$G$4="sa36",[1]Plate!$C$35,MAIN!G4=304,[1]Plate!$I$8,MAIN!$G$4=316,[1]Plate!$O$8)</f>
        <v>#N/A</v>
      </c>
      <c r="L14" s="16">
        <v>30</v>
      </c>
      <c r="M14" s="15">
        <v>1</v>
      </c>
      <c r="N14" s="16" t="s">
        <v>386</v>
      </c>
    </row>
    <row r="15" spans="1:16" x14ac:dyDescent="0.45">
      <c r="A15">
        <v>24</v>
      </c>
      <c r="B15" s="67" t="e" cm="1">
        <f t="array" ref="B15">12*76*IF(MAIN!$G$4="sa36",7.66,8.58)/144*_xlfn.IFS(MAIN!$G$4="sa36",[1]Plate!$C$31,MAIN!G4=304,[1]Plate!$I$4,MAIN!$G$4=316,[1]Plate!$O$4)</f>
        <v>#N/A</v>
      </c>
      <c r="C15" s="67" t="e" cm="1">
        <f t="array" ref="C15">12*76*IF(MAIN!$G$4="sa36",10.21,11.16)/144*_xlfn.IFS(MAIN!$G$4="sa36",[1]Plate!$C$32,MAIN!G4=304,[1]Plate!$I$5,MAIN!$G$4=316,[1]Plate!$O$5)</f>
        <v>#N/A</v>
      </c>
      <c r="D15" s="67" t="e" cm="1">
        <f t="array" ref="D15">12*76*IF(MAIN!$G$4="sa36",12.76,13.75)/144*_xlfn.IFS(MAIN!$G$4="sa36",[1]Plate!$C$33,MAIN!G4=304,[1]Plate!$I$6,MAIN!$G$4=316,[1]Plate!$O$6)</f>
        <v>#N/A</v>
      </c>
      <c r="E15" s="67" t="e" cm="1">
        <f t="array" ref="E15">12*76*IF(MAIN!$G$4="sa36",15.32,16.5)/144*_xlfn.IFS(MAIN!$G$4="sa36",[1]Plate!$C$34,MAIN!G4=304,[1]Plate!$I$7,MAIN!$G$4=316,[1]Plate!$O$7)</f>
        <v>#N/A</v>
      </c>
      <c r="F15" s="67" t="e" cm="1">
        <f t="array" ref="F15">12*76*IF(MAIN!$G$4="sa36",20.42,21.66)/144*_xlfn.IFS(MAIN!$G$4="sa36",[1]Plate!$C$35,MAIN!G4=304,[1]Plate!$I$8,MAIN!$G$4=316,[1]Plate!$O$8)</f>
        <v>#N/A</v>
      </c>
    </row>
    <row r="16" spans="1:16" x14ac:dyDescent="0.45">
      <c r="A16">
        <v>30</v>
      </c>
      <c r="B16" s="67" t="e" cm="1">
        <f t="array" ref="B16">12*95*IF(MAIN!$G$4="sa36",7.66,8.58)/144*_xlfn.IFS(MAIN!$G$4="sa36",[1]Plate!$C$31,MAIN!G4=304,[1]Plate!$I$4,MAIN!$G$4=316,[1]Plate!$O$4)</f>
        <v>#N/A</v>
      </c>
      <c r="C16" s="67" t="e" cm="1">
        <f t="array" ref="C16">12*95*IF(MAIN!$G$4="sa36",10.21,11.16)/144*_xlfn.IFS(MAIN!$G$4="sa36",[1]Plate!$C$32,MAIN!G4=304,[1]Plate!$I$5,MAIN!$G$4=316,[1]Plate!$O$5)</f>
        <v>#N/A</v>
      </c>
      <c r="D16" s="67" t="e" cm="1">
        <f t="array" ref="D16">12*95*IF(MAIN!$G$4="sa36",12.76,13.75)/144*_xlfn.IFS(MAIN!$G$4="sa36",[1]Plate!$C$33,MAIN!G4=304,[1]Plate!$I$6,MAIN!$G$4=316,[1]Plate!$O$6)</f>
        <v>#N/A</v>
      </c>
      <c r="E16" s="67" t="e" cm="1">
        <f t="array" ref="E16">12*95*IF(MAIN!$G$4="sa36",15.32,16.5)/144*_xlfn.IFS(MAIN!$G$4="sa36",[1]Plate!$C$34,MAIN!G4=304,[1]Plate!$I$7,MAIN!$G$4=316,[1]Plate!$O$7)</f>
        <v>#N/A</v>
      </c>
      <c r="F16" s="67" t="e" cm="1">
        <f t="array" ref="F16">12*95*IF(MAIN!$G$4="sa36",20.42,21.66)/144*_xlfn.IFS(MAIN!$G$4="sa36",[1]Plate!$C$35,MAIN!G4=304,[1]Plate!$I$8,MAIN!$G$4=316,[1]Plate!$O$8)</f>
        <v>#N/A</v>
      </c>
    </row>
    <row r="18" spans="1:27" x14ac:dyDescent="0.45">
      <c r="A18" t="s">
        <v>377</v>
      </c>
    </row>
    <row r="19" spans="1:27" x14ac:dyDescent="0.45">
      <c r="B19" s="194" t="s">
        <v>204</v>
      </c>
      <c r="C19" s="194"/>
      <c r="D19" s="194">
        <v>304</v>
      </c>
      <c r="E19" s="194"/>
      <c r="F19" s="194">
        <v>316</v>
      </c>
      <c r="G19" s="194"/>
      <c r="L19" t="s">
        <v>389</v>
      </c>
    </row>
    <row r="20" spans="1:27" x14ac:dyDescent="0.45">
      <c r="A20" t="s">
        <v>378</v>
      </c>
      <c r="B20" t="s">
        <v>379</v>
      </c>
      <c r="C20" t="s">
        <v>380</v>
      </c>
      <c r="D20" t="s">
        <v>379</v>
      </c>
      <c r="E20" t="s">
        <v>380</v>
      </c>
      <c r="F20" t="s">
        <v>379</v>
      </c>
      <c r="G20" t="s">
        <v>380</v>
      </c>
      <c r="M20" s="194" t="s">
        <v>391</v>
      </c>
      <c r="N20" s="194"/>
      <c r="O20" s="194"/>
      <c r="P20" s="194" t="s">
        <v>392</v>
      </c>
      <c r="Q20" s="194"/>
      <c r="R20" s="194"/>
      <c r="S20" s="194" t="s">
        <v>388</v>
      </c>
      <c r="T20" s="194"/>
      <c r="U20" s="194"/>
      <c r="V20" s="194" t="s">
        <v>390</v>
      </c>
      <c r="W20" s="194"/>
      <c r="X20" s="194"/>
      <c r="Y20" s="194" t="s">
        <v>393</v>
      </c>
      <c r="Z20" s="194"/>
      <c r="AA20" s="194"/>
    </row>
    <row r="21" spans="1:27" x14ac:dyDescent="0.45">
      <c r="A21" s="36">
        <v>0.5</v>
      </c>
      <c r="B21" s="67">
        <f>[1]master!$AC$92</f>
        <v>0</v>
      </c>
      <c r="C21" s="67">
        <f>[1]master!$AL$92</f>
        <v>0</v>
      </c>
      <c r="D21" s="67">
        <f>[1]master!$BB$92</f>
        <v>7</v>
      </c>
      <c r="E21" s="67">
        <f>[1]master!$BK$92</f>
        <v>0</v>
      </c>
      <c r="F21" s="67">
        <f>[1]master!$CB$92</f>
        <v>11</v>
      </c>
      <c r="G21" s="67">
        <f>[1]master!$CK$92</f>
        <v>0</v>
      </c>
      <c r="M21">
        <v>36</v>
      </c>
      <c r="N21">
        <v>304</v>
      </c>
      <c r="O21">
        <v>316</v>
      </c>
      <c r="P21">
        <v>36</v>
      </c>
      <c r="Q21">
        <v>304</v>
      </c>
      <c r="R21">
        <v>316</v>
      </c>
      <c r="S21">
        <v>36</v>
      </c>
      <c r="T21">
        <v>304</v>
      </c>
      <c r="U21">
        <v>316</v>
      </c>
      <c r="V21">
        <v>36</v>
      </c>
      <c r="W21">
        <v>304</v>
      </c>
      <c r="X21">
        <v>316</v>
      </c>
      <c r="Y21">
        <v>36</v>
      </c>
      <c r="Z21">
        <v>304</v>
      </c>
      <c r="AA21">
        <v>316</v>
      </c>
    </row>
    <row r="22" spans="1:27" x14ac:dyDescent="0.45">
      <c r="A22">
        <v>1</v>
      </c>
      <c r="B22" s="67">
        <f>[1]master!$AC$92</f>
        <v>0</v>
      </c>
      <c r="C22" s="67">
        <f>[1]master!$AL$92</f>
        <v>0</v>
      </c>
      <c r="D22" s="67">
        <f>[1]master!$BB$92</f>
        <v>7</v>
      </c>
      <c r="E22" s="67">
        <f>[1]master!$BK$92</f>
        <v>0</v>
      </c>
      <c r="F22" s="67">
        <f>[1]master!$CB$92</f>
        <v>11</v>
      </c>
      <c r="G22" s="67">
        <f>[1]master!$CK$92</f>
        <v>0</v>
      </c>
      <c r="L22">
        <v>20</v>
      </c>
      <c r="M22" s="67">
        <f>[1]master!$AC$201</f>
        <v>0</v>
      </c>
      <c r="N22" s="67">
        <f>[1]master!$BB$200</f>
        <v>0</v>
      </c>
      <c r="O22" s="67">
        <f>[1]master!$CB$200</f>
        <v>0</v>
      </c>
      <c r="P22" s="67">
        <f>[1]master!$AC$202</f>
        <v>0</v>
      </c>
      <c r="Q22" s="67">
        <f>[1]master!$BB$201</f>
        <v>0</v>
      </c>
      <c r="R22" s="67">
        <f>[1]master!$CB$201</f>
        <v>0</v>
      </c>
      <c r="S22" s="67">
        <f>[1]master!$AC$17</f>
        <v>0</v>
      </c>
      <c r="T22">
        <f>[1]master!$BB17</f>
        <v>0</v>
      </c>
      <c r="U22">
        <f>[1]master!$CB17</f>
        <v>0</v>
      </c>
      <c r="V22">
        <f>[1]master!$AC36</f>
        <v>0</v>
      </c>
      <c r="W22">
        <f>[1]master!$BB36</f>
        <v>0</v>
      </c>
      <c r="X22">
        <f>[1]master!$CB36</f>
        <v>0</v>
      </c>
      <c r="Y22" s="67">
        <f>[1]master!$AL17</f>
        <v>0</v>
      </c>
      <c r="Z22">
        <f>[1]master!$BK17</f>
        <v>1500</v>
      </c>
      <c r="AA22">
        <f>[1]master!$CK17</f>
        <v>0</v>
      </c>
    </row>
    <row r="23" spans="1:27" x14ac:dyDescent="0.45">
      <c r="A23">
        <v>1.5</v>
      </c>
      <c r="B23" s="67">
        <f>[1]master!$AC$93</f>
        <v>0</v>
      </c>
      <c r="C23" s="67">
        <f>[1]master!$AL$93</f>
        <v>0</v>
      </c>
      <c r="D23" s="67">
        <f>[1]master!$BB$93</f>
        <v>0</v>
      </c>
      <c r="E23" s="67">
        <f>[1]master!$BK$93</f>
        <v>0</v>
      </c>
      <c r="F23" s="67">
        <f>[1]master!$CB$93</f>
        <v>20</v>
      </c>
      <c r="G23" s="67">
        <f>[1]master!$CK$93</f>
        <v>0</v>
      </c>
      <c r="L23">
        <v>24</v>
      </c>
      <c r="M23" s="67">
        <f>[1]master!$AC$207</f>
        <v>400</v>
      </c>
      <c r="N23" s="67">
        <f>[1]master!$BB$206</f>
        <v>855</v>
      </c>
      <c r="O23" s="67">
        <f>[1]master!$CB$206</f>
        <v>1090</v>
      </c>
      <c r="P23" s="67">
        <f>[1]master!$AC$208</f>
        <v>450</v>
      </c>
      <c r="Q23" s="67">
        <f>[1]master!$BB$207</f>
        <v>900</v>
      </c>
      <c r="R23" s="67">
        <f>[1]master!$CB$207</f>
        <v>1155</v>
      </c>
      <c r="S23" s="67">
        <f>[1]master!$AC$18</f>
        <v>0</v>
      </c>
      <c r="T23">
        <f>[1]master!$BB18</f>
        <v>1085</v>
      </c>
      <c r="U23">
        <f>[1]master!$CB18</f>
        <v>2125</v>
      </c>
      <c r="V23">
        <f>[1]master!$AC37</f>
        <v>0</v>
      </c>
      <c r="W23">
        <f>[1]master!$BB37</f>
        <v>0</v>
      </c>
      <c r="X23">
        <f>[1]master!$CB37</f>
        <v>0</v>
      </c>
      <c r="Y23" s="67">
        <f>[1]master!$AL18</f>
        <v>0</v>
      </c>
      <c r="Z23">
        <f>[1]master!$BK18</f>
        <v>0</v>
      </c>
      <c r="AA23">
        <f>[1]master!$CK18</f>
        <v>2615</v>
      </c>
    </row>
    <row r="24" spans="1:27" x14ac:dyDescent="0.45">
      <c r="A24">
        <v>2</v>
      </c>
      <c r="B24" s="67">
        <f>[1]master!$AC$94</f>
        <v>0</v>
      </c>
      <c r="C24" s="67">
        <f>[1]master!$AL$94</f>
        <v>0</v>
      </c>
      <c r="D24" s="67">
        <f>[1]master!$BB$94</f>
        <v>14</v>
      </c>
      <c r="E24" s="67">
        <f>[1]master!$BK$94</f>
        <v>0</v>
      </c>
      <c r="F24" s="67">
        <f>[1]master!$CB$94</f>
        <v>25</v>
      </c>
      <c r="G24" s="67">
        <f>[1]master!$CK$94</f>
        <v>0</v>
      </c>
      <c r="L24">
        <v>30</v>
      </c>
      <c r="M24">
        <f>[1]master!$AC$213</f>
        <v>0</v>
      </c>
      <c r="N24">
        <f>[1]master!$BB$212</f>
        <v>1000</v>
      </c>
      <c r="O24">
        <f>[1]master!$CB$212</f>
        <v>0</v>
      </c>
      <c r="P24">
        <f>[1]master!$AC$214</f>
        <v>0</v>
      </c>
      <c r="Q24">
        <f>[1]master!$BB$213</f>
        <v>1050</v>
      </c>
      <c r="R24">
        <f>[1]master!$CB$213</f>
        <v>0</v>
      </c>
      <c r="S24">
        <f>[1]master!$AC$19</f>
        <v>0</v>
      </c>
      <c r="T24">
        <f>[1]master!$BB19</f>
        <v>0</v>
      </c>
      <c r="U24">
        <f>[1]master!$CB19</f>
        <v>0</v>
      </c>
      <c r="V24">
        <f>[1]master!$AC38</f>
        <v>0</v>
      </c>
      <c r="W24">
        <f>[1]master!$BB38</f>
        <v>0</v>
      </c>
      <c r="X24">
        <f>[1]master!$CB38</f>
        <v>0</v>
      </c>
      <c r="Y24" s="67">
        <f>[1]master!$AL19</f>
        <v>0</v>
      </c>
      <c r="Z24">
        <f>[1]master!$BK19</f>
        <v>0</v>
      </c>
      <c r="AA24">
        <f>[1]master!$CK19</f>
        <v>0</v>
      </c>
    </row>
    <row r="25" spans="1:27" x14ac:dyDescent="0.45">
      <c r="A25">
        <v>3</v>
      </c>
      <c r="B25" s="67">
        <f>[1]master!$AC$95</f>
        <v>0</v>
      </c>
      <c r="C25" s="67">
        <f>[1]master!$AL$95</f>
        <v>0</v>
      </c>
      <c r="D25" s="67">
        <f>[1]master!$BB$95</f>
        <v>36</v>
      </c>
      <c r="E25" s="67">
        <f>[1]master!$BK$95</f>
        <v>0</v>
      </c>
      <c r="F25" s="67">
        <f>[1]master!$CB$95</f>
        <v>50</v>
      </c>
      <c r="G25" s="67">
        <f>[1]master!$CK$95</f>
        <v>0</v>
      </c>
    </row>
    <row r="26" spans="1:27" x14ac:dyDescent="0.45">
      <c r="A26">
        <v>4</v>
      </c>
      <c r="B26" s="67">
        <f>[1]master!$AC$96</f>
        <v>0</v>
      </c>
      <c r="C26" s="67">
        <f>[1]master!$AL$96</f>
        <v>0</v>
      </c>
      <c r="D26" s="67">
        <f>[1]master!$BB$96</f>
        <v>50</v>
      </c>
      <c r="E26" s="67">
        <f>[1]master!$BK$96</f>
        <v>0</v>
      </c>
      <c r="F26" s="67">
        <f>[1]master!$CB$96</f>
        <v>65</v>
      </c>
      <c r="G26" s="67">
        <f>[1]master!$CK$96</f>
        <v>0</v>
      </c>
    </row>
    <row r="27" spans="1:27" x14ac:dyDescent="0.45">
      <c r="A27">
        <v>5</v>
      </c>
      <c r="B27" s="67">
        <f>[1]master!$AC$97</f>
        <v>0</v>
      </c>
      <c r="C27" s="67">
        <f>[1]master!$AL$97</f>
        <v>0</v>
      </c>
      <c r="D27" s="67">
        <f>[1]master!$BB$97</f>
        <v>0</v>
      </c>
      <c r="E27" s="67">
        <f>[1]master!$BK$97</f>
        <v>0</v>
      </c>
      <c r="F27" s="67">
        <f>[1]master!$CB$97</f>
        <v>0</v>
      </c>
      <c r="G27" s="67">
        <f>[1]master!$CK$97</f>
        <v>0</v>
      </c>
    </row>
    <row r="28" spans="1:27" x14ac:dyDescent="0.45">
      <c r="A28">
        <v>6</v>
      </c>
      <c r="B28" s="67">
        <f>[1]master!$AC$98</f>
        <v>112</v>
      </c>
      <c r="C28" s="67">
        <f>[1]master!$AL$98</f>
        <v>0</v>
      </c>
      <c r="D28" s="67">
        <f>[1]master!$BB$98</f>
        <v>89</v>
      </c>
      <c r="E28" s="67">
        <f>[1]master!$BK$98</f>
        <v>0</v>
      </c>
      <c r="F28" s="67">
        <f>[1]master!$CB$98</f>
        <v>155</v>
      </c>
      <c r="G28" s="67">
        <f>[1]master!$CK$98</f>
        <v>0</v>
      </c>
    </row>
    <row r="29" spans="1:27" x14ac:dyDescent="0.45">
      <c r="A29">
        <v>8</v>
      </c>
      <c r="B29" s="67">
        <f>[1]master!$AC$99</f>
        <v>121</v>
      </c>
      <c r="C29" s="67">
        <f>[1]master!$AL$99</f>
        <v>0</v>
      </c>
      <c r="D29" s="67">
        <f>[1]master!$BB$99</f>
        <v>121</v>
      </c>
      <c r="E29" s="67">
        <f>[1]master!$BK$99</f>
        <v>0</v>
      </c>
      <c r="F29" s="67">
        <f>[1]master!$CB$99</f>
        <v>205</v>
      </c>
      <c r="G29" s="67">
        <f>[1]master!$CK$99</f>
        <v>0</v>
      </c>
      <c r="L29" s="194" t="s">
        <v>395</v>
      </c>
      <c r="M29" s="194"/>
      <c r="N29" s="194"/>
      <c r="O29" s="194">
        <v>304</v>
      </c>
      <c r="P29" s="194"/>
      <c r="Q29" s="194"/>
      <c r="R29" s="194">
        <v>316</v>
      </c>
      <c r="S29" s="194"/>
      <c r="T29" s="194"/>
    </row>
    <row r="30" spans="1:27" x14ac:dyDescent="0.45">
      <c r="A30">
        <v>10</v>
      </c>
      <c r="B30" s="67">
        <f>[1]master!$AC$100</f>
        <v>0</v>
      </c>
      <c r="C30" s="67">
        <f>[1]master!$AL$100</f>
        <v>0</v>
      </c>
      <c r="D30" s="67">
        <f>[1]master!$BB$100</f>
        <v>177</v>
      </c>
      <c r="E30" s="67">
        <f>[1]master!$BK$100</f>
        <v>0</v>
      </c>
      <c r="F30" s="67">
        <f>[1]master!$CB$100</f>
        <v>0</v>
      </c>
      <c r="G30" s="67">
        <f>[1]master!$CK$100</f>
        <v>0</v>
      </c>
      <c r="K30" t="s">
        <v>394</v>
      </c>
      <c r="L30" t="s">
        <v>72</v>
      </c>
      <c r="M30" t="s">
        <v>73</v>
      </c>
      <c r="N30" t="s">
        <v>396</v>
      </c>
      <c r="O30" t="s">
        <v>72</v>
      </c>
      <c r="P30" t="s">
        <v>73</v>
      </c>
      <c r="Q30" t="s">
        <v>396</v>
      </c>
      <c r="R30" t="s">
        <v>72</v>
      </c>
      <c r="S30" t="s">
        <v>73</v>
      </c>
      <c r="T30" t="s">
        <v>396</v>
      </c>
    </row>
    <row r="31" spans="1:27" x14ac:dyDescent="0.45">
      <c r="A31">
        <v>12</v>
      </c>
      <c r="B31" s="67">
        <f>[1]master!$AC$101</f>
        <v>0</v>
      </c>
      <c r="C31" s="67">
        <f>[1]master!$AL$101</f>
        <v>0</v>
      </c>
      <c r="D31" s="67">
        <f>[1]master!$BB$101</f>
        <v>232</v>
      </c>
      <c r="E31" s="67">
        <f>[1]master!$BK$101</f>
        <v>0</v>
      </c>
      <c r="F31" s="67">
        <f>[1]master!$CB$101</f>
        <v>0</v>
      </c>
      <c r="G31" s="67">
        <f>[1]master!$CK$101</f>
        <v>0</v>
      </c>
      <c r="K31" s="36">
        <v>0.5</v>
      </c>
      <c r="L31" s="67">
        <f>[1]master!$AC$4</f>
        <v>0</v>
      </c>
      <c r="M31" s="67">
        <f>[1]master!$AC$23</f>
        <v>0</v>
      </c>
      <c r="N31" s="67">
        <f>[1]master!$AL$4</f>
        <v>0</v>
      </c>
      <c r="O31" s="67">
        <f>[1]master!$BB$4</f>
        <v>0</v>
      </c>
      <c r="P31" s="67">
        <f>[1]master!$BB$23</f>
        <v>22</v>
      </c>
      <c r="Q31" s="67">
        <f>[1]master!$BK$4</f>
        <v>0</v>
      </c>
      <c r="R31" s="67">
        <f>[1]master!$CB$4</f>
        <v>27</v>
      </c>
      <c r="S31" s="67">
        <f>[1]master!$CB$23</f>
        <v>0</v>
      </c>
      <c r="T31" s="67">
        <f>[1]master!$CK$4</f>
        <v>27</v>
      </c>
    </row>
    <row r="32" spans="1:27" x14ac:dyDescent="0.45">
      <c r="K32">
        <v>1</v>
      </c>
      <c r="L32" s="67">
        <f>[1]master!$AC$4</f>
        <v>0</v>
      </c>
      <c r="M32" s="67">
        <f>[1]master!$AC$23</f>
        <v>0</v>
      </c>
      <c r="N32" s="67">
        <f>[1]master!$AL$4</f>
        <v>0</v>
      </c>
      <c r="O32" s="67">
        <f>[1]master!$BB4</f>
        <v>0</v>
      </c>
      <c r="P32" s="67">
        <f>[1]master!$BB23</f>
        <v>22</v>
      </c>
      <c r="Q32" s="67">
        <f>[1]master!$BK4</f>
        <v>0</v>
      </c>
      <c r="R32" s="67">
        <f>[1]master!$CB4</f>
        <v>27</v>
      </c>
      <c r="S32" s="67">
        <f>[1]master!$CB23</f>
        <v>0</v>
      </c>
      <c r="T32" s="67">
        <f>[1]master!$CK4</f>
        <v>27</v>
      </c>
    </row>
    <row r="33" spans="11:20" x14ac:dyDescent="0.45">
      <c r="K33">
        <v>1.5</v>
      </c>
      <c r="L33" s="67">
        <f>[1]master!$AC$5</f>
        <v>0</v>
      </c>
      <c r="M33" s="67">
        <f>[1]master!$AC$24</f>
        <v>0</v>
      </c>
      <c r="N33" s="67">
        <f>[1]master!$AL$5</f>
        <v>0</v>
      </c>
      <c r="O33" s="67">
        <f>[1]master!$BB5</f>
        <v>0</v>
      </c>
      <c r="P33" s="67">
        <f>[1]master!$BB24</f>
        <v>0</v>
      </c>
      <c r="Q33" s="67">
        <f>[1]master!$BK5</f>
        <v>0</v>
      </c>
      <c r="R33" s="67">
        <f>[1]master!$CB5</f>
        <v>32</v>
      </c>
      <c r="S33" s="67">
        <f>[1]master!$CB24</f>
        <v>0</v>
      </c>
      <c r="T33" s="67">
        <f>[1]master!$CK5</f>
        <v>0</v>
      </c>
    </row>
    <row r="34" spans="11:20" x14ac:dyDescent="0.45">
      <c r="K34">
        <v>2</v>
      </c>
      <c r="L34" s="67">
        <f>[1]master!$AC$6</f>
        <v>0</v>
      </c>
      <c r="M34" s="67">
        <f>[1]master!$AC$25</f>
        <v>0</v>
      </c>
      <c r="N34" s="67">
        <f>[1]master!$AL$6</f>
        <v>0</v>
      </c>
      <c r="O34" s="67">
        <f>[1]master!$BB6</f>
        <v>0</v>
      </c>
      <c r="P34" s="67">
        <f>[1]master!$BB25</f>
        <v>33</v>
      </c>
      <c r="Q34" s="67">
        <f>[1]master!$BK6</f>
        <v>0</v>
      </c>
      <c r="R34" s="67">
        <f>[1]master!$CB6</f>
        <v>43</v>
      </c>
      <c r="S34" s="67">
        <f>[1]master!$CB25</f>
        <v>0</v>
      </c>
      <c r="T34" s="67">
        <f>[1]master!$CK6</f>
        <v>0</v>
      </c>
    </row>
    <row r="35" spans="11:20" x14ac:dyDescent="0.45">
      <c r="K35">
        <v>3</v>
      </c>
      <c r="L35" s="67">
        <f>[1]master!$AC$7</f>
        <v>0</v>
      </c>
      <c r="M35" s="67">
        <f>[1]master!$AC$26</f>
        <v>0</v>
      </c>
      <c r="N35" s="67">
        <f>[1]master!$AL$7</f>
        <v>17</v>
      </c>
      <c r="O35" s="67">
        <f>[1]master!$BB7</f>
        <v>48</v>
      </c>
      <c r="P35" s="67">
        <f>[1]master!$BB26</f>
        <v>54</v>
      </c>
      <c r="Q35" s="67">
        <f>[1]master!$BK7</f>
        <v>49</v>
      </c>
      <c r="R35" s="67">
        <f>[1]master!$CB7</f>
        <v>68</v>
      </c>
      <c r="S35" s="67">
        <f>[1]master!$CB26</f>
        <v>0</v>
      </c>
      <c r="T35" s="67">
        <f>[1]master!$CK7</f>
        <v>69</v>
      </c>
    </row>
    <row r="36" spans="11:20" x14ac:dyDescent="0.45">
      <c r="K36">
        <v>4</v>
      </c>
      <c r="L36" s="67">
        <f>[1]master!$AC$8</f>
        <v>0</v>
      </c>
      <c r="M36" s="67">
        <f>[1]master!$AC$27</f>
        <v>0</v>
      </c>
      <c r="N36" s="67">
        <f>[1]master!$AL$8</f>
        <v>0</v>
      </c>
      <c r="O36" s="67">
        <f>[1]master!$BB8</f>
        <v>0</v>
      </c>
      <c r="P36" s="67">
        <f>[1]master!$BB27</f>
        <v>75</v>
      </c>
      <c r="Q36" s="67">
        <f>[1]master!$BK8</f>
        <v>0</v>
      </c>
      <c r="R36" s="67">
        <f>[1]master!$CB8</f>
        <v>94</v>
      </c>
      <c r="S36" s="67">
        <f>[1]master!$CB27</f>
        <v>0</v>
      </c>
      <c r="T36" s="67">
        <f>[1]master!$CK8</f>
        <v>102</v>
      </c>
    </row>
    <row r="37" spans="11:20" x14ac:dyDescent="0.45">
      <c r="K37">
        <v>5</v>
      </c>
      <c r="L37" s="67">
        <f>[1]master!$AC$9</f>
        <v>0</v>
      </c>
      <c r="M37" s="67">
        <f>[1]master!$AC$28</f>
        <v>0</v>
      </c>
      <c r="N37" s="67">
        <f>[1]master!$AL$9</f>
        <v>0</v>
      </c>
      <c r="O37" s="67">
        <f>[1]master!$BB9</f>
        <v>0</v>
      </c>
      <c r="P37" s="67">
        <f>[1]master!$BB28</f>
        <v>0</v>
      </c>
      <c r="Q37" s="67">
        <f>[1]master!$BK9</f>
        <v>0</v>
      </c>
      <c r="R37" s="67">
        <f>[1]master!$CB9</f>
        <v>0</v>
      </c>
      <c r="S37" s="67">
        <f>[1]master!$CB28</f>
        <v>0</v>
      </c>
      <c r="T37" s="67">
        <f>[1]master!$CK9</f>
        <v>0</v>
      </c>
    </row>
    <row r="38" spans="11:20" x14ac:dyDescent="0.45">
      <c r="K38">
        <v>6</v>
      </c>
      <c r="L38" s="67">
        <f>[1]master!$AC$10</f>
        <v>0</v>
      </c>
      <c r="M38" s="67">
        <f>[1]master!$AC$29</f>
        <v>0</v>
      </c>
      <c r="N38" s="67">
        <f>[1]master!$AL$10</f>
        <v>0</v>
      </c>
      <c r="O38" s="67">
        <f>[1]master!$BB10</f>
        <v>99</v>
      </c>
      <c r="P38" s="67">
        <f>[1]master!$BB29</f>
        <v>129</v>
      </c>
      <c r="Q38" s="67">
        <f>[1]master!$BK10</f>
        <v>107</v>
      </c>
      <c r="R38" s="67">
        <f>[1]master!$CB10</f>
        <v>0</v>
      </c>
      <c r="S38" s="67">
        <f>[1]master!$CB29</f>
        <v>0</v>
      </c>
      <c r="T38" s="67">
        <f>[1]master!$CK10</f>
        <v>153</v>
      </c>
    </row>
    <row r="39" spans="11:20" x14ac:dyDescent="0.45">
      <c r="K39">
        <v>8</v>
      </c>
      <c r="L39" s="67">
        <f>[1]master!$AC$11</f>
        <v>0</v>
      </c>
      <c r="M39" s="67">
        <f>[1]master!$AC$30</f>
        <v>0</v>
      </c>
      <c r="N39" s="67">
        <f>[1]master!$AL$11</f>
        <v>0</v>
      </c>
      <c r="O39" s="67">
        <f>[1]master!$BB11</f>
        <v>0</v>
      </c>
      <c r="P39" s="67">
        <f>[1]master!$BB30</f>
        <v>217</v>
      </c>
      <c r="Q39" s="67">
        <f>[1]master!$BK11</f>
        <v>0</v>
      </c>
      <c r="R39" s="67">
        <f>[1]master!$CB11</f>
        <v>268</v>
      </c>
      <c r="S39" s="67">
        <f>[1]master!$CB30</f>
        <v>0</v>
      </c>
      <c r="T39" s="67">
        <f>[1]master!$CK11</f>
        <v>0</v>
      </c>
    </row>
    <row r="40" spans="11:20" x14ac:dyDescent="0.45">
      <c r="K40">
        <v>10</v>
      </c>
      <c r="L40" s="67">
        <f>[1]master!$AC$12</f>
        <v>0</v>
      </c>
      <c r="M40" s="67">
        <f>[1]master!$AC$31</f>
        <v>0</v>
      </c>
      <c r="N40" s="67">
        <f>[1]master!$AL$12</f>
        <v>0</v>
      </c>
      <c r="O40" s="67">
        <f>[1]master!$BB12</f>
        <v>0</v>
      </c>
      <c r="P40" s="67">
        <f>[1]master!$BB31</f>
        <v>321</v>
      </c>
      <c r="Q40" s="67">
        <f>[1]master!$BK12</f>
        <v>318</v>
      </c>
      <c r="R40" s="67">
        <f>[1]master!$CB12</f>
        <v>0</v>
      </c>
      <c r="S40" s="67">
        <f>[1]master!$CB31</f>
        <v>0</v>
      </c>
      <c r="T40" s="67">
        <f>[1]master!$CK12</f>
        <v>0</v>
      </c>
    </row>
    <row r="41" spans="11:20" x14ac:dyDescent="0.45">
      <c r="K41">
        <v>12</v>
      </c>
      <c r="L41" s="67">
        <f>[1]master!$AC$13</f>
        <v>0</v>
      </c>
      <c r="M41">
        <f>[1]master!$AC$32</f>
        <v>0</v>
      </c>
      <c r="N41" s="67">
        <f>[1]master!$AL$13</f>
        <v>0</v>
      </c>
      <c r="O41" s="67">
        <f>[1]master!$BB13</f>
        <v>0</v>
      </c>
      <c r="P41" s="67">
        <f>[1]master!$BB32</f>
        <v>500</v>
      </c>
      <c r="Q41" s="67">
        <f>[1]master!$BK13</f>
        <v>401</v>
      </c>
      <c r="R41" s="67">
        <f>[1]master!$CB13</f>
        <v>0</v>
      </c>
      <c r="S41" s="67">
        <f>[1]master!$CB32</f>
        <v>0</v>
      </c>
      <c r="T41" s="67">
        <f>[1]master!$CK13</f>
        <v>0</v>
      </c>
    </row>
    <row r="42" spans="11:20" x14ac:dyDescent="0.45">
      <c r="K42">
        <v>14</v>
      </c>
      <c r="L42" s="67">
        <f>[1]master!$AC$14</f>
        <v>0</v>
      </c>
      <c r="M42">
        <f>[1]master!$AC$33</f>
        <v>0</v>
      </c>
      <c r="N42" s="67">
        <f>[1]master!$AL$14</f>
        <v>0</v>
      </c>
      <c r="O42" s="67">
        <f>[1]master!$BB14</f>
        <v>545</v>
      </c>
      <c r="P42" s="67">
        <f>[1]master!$BB33</f>
        <v>0</v>
      </c>
      <c r="Q42" s="67">
        <f>[1]master!$BK14</f>
        <v>0</v>
      </c>
      <c r="R42" s="67">
        <f>[1]master!$CB14</f>
        <v>0</v>
      </c>
      <c r="S42" s="67">
        <f>[1]master!$CB33</f>
        <v>0</v>
      </c>
      <c r="T42" s="67">
        <f>[1]master!$CK14</f>
        <v>0</v>
      </c>
    </row>
    <row r="43" spans="11:20" x14ac:dyDescent="0.45">
      <c r="K43">
        <v>16</v>
      </c>
      <c r="L43" s="67">
        <f>[1]master!$AC$15</f>
        <v>0</v>
      </c>
      <c r="M43" s="67">
        <f>[1]master!$AC$34</f>
        <v>0</v>
      </c>
      <c r="N43" s="67">
        <f>[1]master!$AL$15</f>
        <v>0</v>
      </c>
      <c r="O43" s="67">
        <f>[1]master!$BB15</f>
        <v>0</v>
      </c>
      <c r="P43" s="67">
        <f>[1]master!$BB34</f>
        <v>695</v>
      </c>
      <c r="Q43" s="67">
        <f>[1]master!$BK15</f>
        <v>0</v>
      </c>
      <c r="R43" s="67">
        <f>[1]master!$CB15</f>
        <v>750</v>
      </c>
      <c r="S43" s="67">
        <f>[1]master!$CB34</f>
        <v>0</v>
      </c>
      <c r="T43" s="67">
        <f>[1]master!$CK15</f>
        <v>0</v>
      </c>
    </row>
    <row r="44" spans="11:20" x14ac:dyDescent="0.45">
      <c r="K44">
        <v>18</v>
      </c>
      <c r="L44" s="67">
        <f>[1]master!$AC$16</f>
        <v>0</v>
      </c>
      <c r="M44">
        <f>[1]master!$AC$35</f>
        <v>0</v>
      </c>
      <c r="N44" s="67">
        <f>[1]master!$AL$16</f>
        <v>0</v>
      </c>
      <c r="O44" s="67">
        <f>[1]master!$BB16</f>
        <v>0</v>
      </c>
      <c r="P44" s="67">
        <f>[1]master!$BB35</f>
        <v>0</v>
      </c>
      <c r="Q44" s="67">
        <f>[1]master!$BK16</f>
        <v>0</v>
      </c>
      <c r="R44" s="67">
        <f>[1]master!$CB16</f>
        <v>785</v>
      </c>
      <c r="S44" s="67">
        <f>[1]master!$CB35</f>
        <v>0</v>
      </c>
      <c r="T44" s="67">
        <f>[1]master!$CK16</f>
        <v>0</v>
      </c>
    </row>
    <row r="45" spans="11:20" x14ac:dyDescent="0.45">
      <c r="K45">
        <v>20</v>
      </c>
      <c r="L45" s="67">
        <f>[1]master!$AC$17</f>
        <v>0</v>
      </c>
      <c r="M45">
        <f>[1]master!$AC$36</f>
        <v>0</v>
      </c>
      <c r="N45" s="67">
        <f>[1]master!$AL$17</f>
        <v>0</v>
      </c>
      <c r="O45" s="67">
        <f>[1]master!$BB17</f>
        <v>0</v>
      </c>
      <c r="P45" s="67">
        <f>[1]master!$BB36</f>
        <v>0</v>
      </c>
      <c r="Q45" s="67">
        <f>[1]master!$BK17</f>
        <v>1500</v>
      </c>
      <c r="R45" s="67">
        <f>[1]master!$CB17</f>
        <v>0</v>
      </c>
      <c r="S45" s="67">
        <f>[1]master!$CB36</f>
        <v>0</v>
      </c>
      <c r="T45" s="67">
        <f>[1]master!$CK17</f>
        <v>0</v>
      </c>
    </row>
    <row r="46" spans="11:20" x14ac:dyDescent="0.45">
      <c r="K46">
        <v>24</v>
      </c>
      <c r="L46" s="67">
        <f>[1]master!$AC$18</f>
        <v>0</v>
      </c>
      <c r="M46">
        <f>[1]master!$AC$37</f>
        <v>0</v>
      </c>
      <c r="N46" s="67">
        <f>[1]master!$AL$18</f>
        <v>0</v>
      </c>
      <c r="O46" s="67">
        <f>[1]master!$BB18</f>
        <v>1085</v>
      </c>
      <c r="P46" s="67">
        <f>[1]master!$BB37</f>
        <v>0</v>
      </c>
      <c r="Q46" s="67">
        <f>[1]master!$BK18</f>
        <v>0</v>
      </c>
      <c r="R46" s="67">
        <f>[1]master!$CB18</f>
        <v>2125</v>
      </c>
      <c r="S46" s="67">
        <f>[1]master!$CB37</f>
        <v>0</v>
      </c>
      <c r="T46" s="67">
        <f>[1]master!$CK18</f>
        <v>2615</v>
      </c>
    </row>
    <row r="47" spans="11:20" x14ac:dyDescent="0.45">
      <c r="K47">
        <v>30</v>
      </c>
      <c r="L47">
        <f>[1]master!$AC$19</f>
        <v>0</v>
      </c>
      <c r="M47">
        <f>[1]master!$AC$38</f>
        <v>0</v>
      </c>
      <c r="N47">
        <f>[1]master!$AL$19</f>
        <v>0</v>
      </c>
      <c r="O47" s="67">
        <f>[1]master!$BB19</f>
        <v>0</v>
      </c>
      <c r="P47" s="67">
        <f>[1]master!$BB38</f>
        <v>0</v>
      </c>
      <c r="Q47" s="67">
        <f>[1]master!$BK19</f>
        <v>0</v>
      </c>
      <c r="R47" s="67">
        <f>[1]master!$CB19</f>
        <v>0</v>
      </c>
      <c r="S47" s="67">
        <f>[1]master!$CB38</f>
        <v>0</v>
      </c>
      <c r="T47" s="67">
        <f>[1]master!$CK19</f>
        <v>0</v>
      </c>
    </row>
  </sheetData>
  <mergeCells count="11">
    <mergeCell ref="B19:C19"/>
    <mergeCell ref="D19:E19"/>
    <mergeCell ref="F19:G19"/>
    <mergeCell ref="M20:O20"/>
    <mergeCell ref="P20:R20"/>
    <mergeCell ref="S20:U20"/>
    <mergeCell ref="V20:X20"/>
    <mergeCell ref="Y20:AA20"/>
    <mergeCell ref="L29:N29"/>
    <mergeCell ref="O29:Q29"/>
    <mergeCell ref="R29:T29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PRODUCT</vt:lpstr>
      <vt:lpstr>top-bottom sizes</vt:lpstr>
      <vt:lpstr>Lists</vt:lpstr>
      <vt:lpstr>SHELLS</vt:lpstr>
      <vt:lpstr>Nozzles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Kelly Arseneau</cp:lastModifiedBy>
  <dcterms:created xsi:type="dcterms:W3CDTF">2024-02-15T15:41:42Z</dcterms:created>
  <dcterms:modified xsi:type="dcterms:W3CDTF">2025-06-22T17:20:28Z</dcterms:modified>
</cp:coreProperties>
</file>